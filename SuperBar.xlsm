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ommun\2. PARTIE BE\superbar\"/>
    </mc:Choice>
  </mc:AlternateContent>
  <xr:revisionPtr revIDLastSave="0" documentId="13_ncr:1_{2D7BDE9B-6411-4C1C-BCFE-C92720B7617A}" xr6:coauthVersionLast="47" xr6:coauthVersionMax="47" xr10:uidLastSave="{00000000-0000-0000-0000-000000000000}"/>
  <bookViews>
    <workbookView xWindow="1905" yWindow="1905" windowWidth="21600" windowHeight="11385" tabRatio="708" xr2:uid="{2792F52E-B4C6-451B-BCBD-240C342453C9}"/>
  </bookViews>
  <sheets>
    <sheet name="SuperBar" sheetId="4" r:id="rId1"/>
    <sheet name="Conditionnements" sheetId="2" r:id="rId2"/>
    <sheet name="Nomenclature SolidWorks" sheetId="1" r:id="rId3"/>
    <sheet name="Accessoires" sheetId="3" r:id="rId4"/>
    <sheet name="Bon de commande" sheetId="7" r:id="rId5"/>
    <sheet name="Couleurs" sheetId="9" r:id="rId6"/>
    <sheet name="Collaborateurs" sheetId="8" r:id="rId7"/>
  </sheets>
  <functionGroups builtInGroupCount="19"/>
  <definedNames>
    <definedName name="_xlnm._FilterDatabase" localSheetId="1" hidden="1">Conditionnements!$A$1:$G$90</definedName>
    <definedName name="_xlnm._FilterDatabase" localSheetId="2" hidden="1">'Nomenclature SolidWorks'!$A$1:$I$18</definedName>
    <definedName name="nomenclature">SuperBar!$B$7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7" l="1"/>
  <c r="F9" i="7" l="1"/>
  <c r="F11" i="7"/>
  <c r="F10" i="7"/>
</calcChain>
</file>

<file path=xl/sharedStrings.xml><?xml version="1.0" encoding="utf-8"?>
<sst xmlns="http://schemas.openxmlformats.org/spreadsheetml/2006/main" count="692" uniqueCount="199">
  <si>
    <t>No. ARTICLE</t>
  </si>
  <si>
    <t>TYPES</t>
  </si>
  <si>
    <t>REF</t>
  </si>
  <si>
    <t>DESCRIPTION</t>
  </si>
  <si>
    <t>QTE</t>
  </si>
  <si>
    <t>LONGUEUR</t>
  </si>
  <si>
    <t>ANGLE1</t>
  </si>
  <si>
    <t>ANGLE2</t>
  </si>
  <si>
    <t xml:space="preserve">  </t>
  </si>
  <si>
    <t>Profil</t>
  </si>
  <si>
    <t>ARTICULATION FAITIERE</t>
  </si>
  <si>
    <t>0°</t>
  </si>
  <si>
    <t>CAPOT FAITIERE</t>
  </si>
  <si>
    <t>Joint</t>
  </si>
  <si>
    <t>JOINT DOUBLE LEVRES</t>
  </si>
  <si>
    <t>ENTRETOISE CHEVRON</t>
  </si>
  <si>
    <t>7645TH</t>
  </si>
  <si>
    <t>FAITIERE RPT</t>
  </si>
  <si>
    <t>7130TH</t>
  </si>
  <si>
    <t>SABLIERE VR INTEGRE</t>
  </si>
  <si>
    <t>ARTICULATION CHEVRON 108</t>
  </si>
  <si>
    <t>OBTURATEUR</t>
  </si>
  <si>
    <t>JOINT DE CHENEAU</t>
  </si>
  <si>
    <t>CHENEAU VOLET ROULANT</t>
  </si>
  <si>
    <t>INTERCALAIRE PVC REMP 55</t>
  </si>
  <si>
    <t>7691TH</t>
  </si>
  <si>
    <t>CHEVRON RIVE 70</t>
  </si>
  <si>
    <t>JOINT  ASSISE 7</t>
  </si>
  <si>
    <t>CAPOT CLIPPE 39</t>
  </si>
  <si>
    <t>JOINT EXT. 2</t>
  </si>
  <si>
    <t>CAPOT CLIPPE 39 DECALE</t>
  </si>
  <si>
    <t>7050TH</t>
  </si>
  <si>
    <t>POTEAU D'ANGLE 76X116</t>
  </si>
  <si>
    <t>CAPOT 66</t>
  </si>
  <si>
    <t>REHAUS INTERCALAIRE PVC</t>
  </si>
  <si>
    <t>ACCROCHE BAS DE CAPOT</t>
  </si>
  <si>
    <t>L10020X2</t>
  </si>
  <si>
    <t>CORNIERE 100X20X2</t>
  </si>
  <si>
    <t>7018TH</t>
  </si>
  <si>
    <t>Accessoire</t>
  </si>
  <si>
    <t>ARRET DE REMPLISSAGE</t>
  </si>
  <si>
    <t>CACHE 7701</t>
  </si>
  <si>
    <t>Référence</t>
  </si>
  <si>
    <t>Désignation</t>
  </si>
  <si>
    <t>Cond.</t>
  </si>
  <si>
    <t>ML</t>
  </si>
  <si>
    <t>L3520X2</t>
  </si>
  <si>
    <t>CORNIERE 35X20X2</t>
  </si>
  <si>
    <t>L6030X2</t>
  </si>
  <si>
    <t>CORNIERE 60X30X2</t>
  </si>
  <si>
    <t>7018/4TH</t>
  </si>
  <si>
    <t>POTEAU DROITE 76X118</t>
  </si>
  <si>
    <t>7050/4TH</t>
  </si>
  <si>
    <t>4053/4</t>
  </si>
  <si>
    <t>RENFORT SABLIERE</t>
  </si>
  <si>
    <t>CAPOT 9</t>
  </si>
  <si>
    <t>7058/4</t>
  </si>
  <si>
    <t>JOINT BAVETTE</t>
  </si>
  <si>
    <t>7125/4TH</t>
  </si>
  <si>
    <t>PROFIL MONTANT 120X31</t>
  </si>
  <si>
    <t>7125TH</t>
  </si>
  <si>
    <t>REHAUSSE MOULUREE DC 104</t>
  </si>
  <si>
    <t>REHAUSSE CHANF.DC 104</t>
  </si>
  <si>
    <t>REHAUSSE DROITE DC 104</t>
  </si>
  <si>
    <t>7607/4TH</t>
  </si>
  <si>
    <t>SABLIERE CHENEAU 138MM</t>
  </si>
  <si>
    <t>7607TH</t>
  </si>
  <si>
    <t>CHEVRON 156MM RENFORCE</t>
  </si>
  <si>
    <t>7621/4</t>
  </si>
  <si>
    <t>CHEVRON MOULURE 230MM</t>
  </si>
  <si>
    <t>CHEVRON 106 MM</t>
  </si>
  <si>
    <t>7624/4</t>
  </si>
  <si>
    <t>BAVETTE FAITIERE 85</t>
  </si>
  <si>
    <t>INTERCALAIRE PVC REMP32</t>
  </si>
  <si>
    <t>7642/4</t>
  </si>
  <si>
    <t>7646/4</t>
  </si>
  <si>
    <t xml:space="preserve">CHEVRON 156MM </t>
  </si>
  <si>
    <t>7649/4</t>
  </si>
  <si>
    <t>CHEVRON 106MM SEMI RENF</t>
  </si>
  <si>
    <t>7653/4</t>
  </si>
  <si>
    <t>7655/4</t>
  </si>
  <si>
    <t>TRAVERSE INTERM TUB</t>
  </si>
  <si>
    <t>CHEVRON 106MM RENF</t>
  </si>
  <si>
    <t>7661/4</t>
  </si>
  <si>
    <t>ARTICULATION CHEVRON 156</t>
  </si>
  <si>
    <t>7819/4</t>
  </si>
  <si>
    <t>JOINT ASSISE 7</t>
  </si>
  <si>
    <t>JOINT DE TRAVERSE 2</t>
  </si>
  <si>
    <t>RENFORT 50-70</t>
  </si>
  <si>
    <t>710003N</t>
  </si>
  <si>
    <t>POTEAU 90° SORTANT 124</t>
  </si>
  <si>
    <t>POTEAU 180° 124MM</t>
  </si>
  <si>
    <t>CAPOT 90°</t>
  </si>
  <si>
    <t>POTEAU 180° EXTREM</t>
  </si>
  <si>
    <t>CAPOT POTEAU 180</t>
  </si>
  <si>
    <t>PROFIL PVC POTEAU 90°</t>
  </si>
  <si>
    <t>PIECE</t>
  </si>
  <si>
    <t>EMBOUT DE SABLIERE 7607TH/7605</t>
  </si>
  <si>
    <t>CLIP FIX. REHAUSSE</t>
  </si>
  <si>
    <t>CREPINE EP DIAM 80</t>
  </si>
  <si>
    <t>EMBOUT DE FAITIERE</t>
  </si>
  <si>
    <t>JONCTION 7607TH 90° INT</t>
  </si>
  <si>
    <t>JONCTION 7607TH 180°</t>
  </si>
  <si>
    <t>COULISSE VOLET ROULANT</t>
  </si>
  <si>
    <t>ACCROCHE BAS DE CAPOT 78</t>
  </si>
  <si>
    <t>7784/4</t>
  </si>
  <si>
    <t>CHENEAU VR LG 4M</t>
  </si>
  <si>
    <t>CAPOT MOULURE VR</t>
  </si>
  <si>
    <t>7785/4</t>
  </si>
  <si>
    <t>CAPOT MOULURE VE LG 4M</t>
  </si>
  <si>
    <t>CAPOT CONTEMPORAIN VR</t>
  </si>
  <si>
    <t>7796/4</t>
  </si>
  <si>
    <t>REHAUSSE CONTEMP VR</t>
  </si>
  <si>
    <t>EQUERRE SABLIERE 90°</t>
  </si>
  <si>
    <t>EQUERRE SABLIERE A 180°</t>
  </si>
  <si>
    <t>ECLISSE CHENEAU 7784 A 90°</t>
  </si>
  <si>
    <t>ECLISSE CHENEAU 7784 A 180°</t>
  </si>
  <si>
    <t>ECLISSE ORIENTABLE</t>
  </si>
  <si>
    <t>ECLISSE DROITE</t>
  </si>
  <si>
    <t>Classique Tubulaire Droite</t>
  </si>
  <si>
    <t>Volet Roulant Tubulaire Droite</t>
  </si>
  <si>
    <t>SuperBar</t>
  </si>
  <si>
    <t>Nomenclature Solidworks</t>
  </si>
  <si>
    <t>Couleur intérieure</t>
  </si>
  <si>
    <t>Couleur extérieure</t>
  </si>
  <si>
    <t>Type</t>
  </si>
  <si>
    <t>U.T.</t>
  </si>
  <si>
    <t>Type véranda</t>
  </si>
  <si>
    <t>Description</t>
  </si>
  <si>
    <t>Quantité</t>
  </si>
  <si>
    <t>100 rue Jean Jaurès 69330 Meyzieu</t>
  </si>
  <si>
    <t>Mail :</t>
  </si>
  <si>
    <t>Fax :</t>
  </si>
  <si>
    <t>04 72 450 253</t>
  </si>
  <si>
    <t>Tél. :</t>
  </si>
  <si>
    <t>04 72 450 250</t>
  </si>
  <si>
    <t>Adresse :</t>
  </si>
  <si>
    <t>BON DE COMMANDE INSTALLUX</t>
  </si>
  <si>
    <t>Entreprise :</t>
  </si>
  <si>
    <t>Expéditeur :</t>
  </si>
  <si>
    <t>Référence :</t>
  </si>
  <si>
    <t>ATA</t>
  </si>
  <si>
    <t>Ziad Zakaria</t>
  </si>
  <si>
    <t>Yves Rey</t>
  </si>
  <si>
    <t>yves.rey@ata-habitat.com</t>
  </si>
  <si>
    <t>ziad.zakarya@ata-habitat.com</t>
  </si>
  <si>
    <t>Franck Collaudin</t>
  </si>
  <si>
    <t>franck.collaudin@ata-habitat.com</t>
  </si>
  <si>
    <t>coralie.collaudin@ata-habitat.com</t>
  </si>
  <si>
    <t>Coralie Collaudin</t>
  </si>
  <si>
    <t>Couleur int. :</t>
  </si>
  <si>
    <t>Couleur ext. :</t>
  </si>
  <si>
    <t>Référence projet</t>
  </si>
  <si>
    <t>REF MANQUANTE</t>
  </si>
  <si>
    <t>CHEVRON MOULURE 108</t>
  </si>
  <si>
    <t>7702s</t>
  </si>
  <si>
    <t>-</t>
  </si>
  <si>
    <t>ATA (Atelier Technique de l'Aluminium)</t>
  </si>
  <si>
    <t>Famille</t>
  </si>
  <si>
    <t>Poteaux</t>
  </si>
  <si>
    <t>Faitage</t>
  </si>
  <si>
    <t>Chevrons</t>
  </si>
  <si>
    <t>Chéneau</t>
  </si>
  <si>
    <t>Condt</t>
  </si>
  <si>
    <t>NUMERO 
DE PIECE</t>
  </si>
  <si>
    <t>L6030X
2</t>
  </si>
  <si>
    <t>TU80X2</t>
  </si>
  <si>
    <t>TUBE ROND 80*2</t>
  </si>
  <si>
    <t>Noir 2200 Sablé</t>
  </si>
  <si>
    <t>Ivoire 2100 Sablé</t>
  </si>
  <si>
    <t>Mars 2525</t>
  </si>
  <si>
    <t>Chêne doré TB2007</t>
  </si>
  <si>
    <t>Gris 2500 Sablé</t>
  </si>
  <si>
    <t>Gris 2900 Sablé</t>
  </si>
  <si>
    <t>Gris RAL 7016</t>
  </si>
  <si>
    <t>Blanc RAL 9010</t>
  </si>
  <si>
    <t>à vérifier</t>
  </si>
  <si>
    <t>Brun 2650 Sablé</t>
  </si>
  <si>
    <t>Bleu RAL 8023 MG</t>
  </si>
  <si>
    <t>MONTREVEL</t>
  </si>
  <si>
    <t>SABLIÈRE CHENEAU 138MM</t>
  </si>
  <si>
    <t>JOINT EXTERIEUR 8</t>
  </si>
  <si>
    <t>7127TH</t>
  </si>
  <si>
    <t>PROFIL LIAISON 135° 120</t>
  </si>
  <si>
    <t>ARETIER MOULURE 160</t>
  </si>
  <si>
    <t>CREPINE EP</t>
  </si>
  <si>
    <t>Rem</t>
  </si>
  <si>
    <t>C:\Users\tc\OneDrive\Documents\Projets\superbar\1_tests\Nomenclature pour achats - LAFFONT.xlsx</t>
  </si>
  <si>
    <t>0.00 Angle Maison</t>
  </si>
  <si>
    <t>TUBULAIRE</t>
  </si>
  <si>
    <t>0.00 Angle maison</t>
  </si>
  <si>
    <t>14.04°</t>
  </si>
  <si>
    <t>REMPLISSAGE TOITURE</t>
  </si>
  <si>
    <t>Remplissag
e</t>
  </si>
  <si>
    <t>Panneau, 31 x 711.44 x 3180.26</t>
  </si>
  <si>
    <t>TRAPEZE 
DROIT 70TH 
lAFFONT</t>
  </si>
  <si>
    <t>TRAPEZE 70TH</t>
  </si>
  <si>
    <t>DORMANT A FOND PLAT</t>
  </si>
  <si>
    <t>TRAVERSE DORMANT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</si>
</sst>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entury Gothic"/>
      <family val="2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1" xfId="0" applyBorder="1"/>
    <xf numFmtId="0" fontId="0" fillId="3" borderId="1" xfId="0" applyFill="1" applyBorder="1" applyAlignment="1">
      <alignment vertical="center"/>
    </xf>
    <xf numFmtId="0" fontId="5" fillId="0" borderId="0" xfId="1"/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vertical="center" wrapText="1"/>
    </xf>
    <xf numFmtId="17" fontId="0" fillId="0" borderId="0" xfId="0" quotePrefix="1" applyNumberFormat="1"/>
    <xf numFmtId="0" fontId="7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4" fillId="4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8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9525</xdr:rowOff>
        </xdr:from>
        <xdr:to>
          <xdr:col>2</xdr:col>
          <xdr:colOff>323850</xdr:colOff>
          <xdr:row>6</xdr:row>
          <xdr:rowOff>333375</xdr:rowOff>
        </xdr:to>
        <xdr:sp macro="" textlink="">
          <xdr:nvSpPr>
            <xdr:cNvPr id="3073" name="CommandButtonNomenclatur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2000250</xdr:colOff>
          <xdr:row>8</xdr:row>
          <xdr:rowOff>104775</xdr:rowOff>
        </xdr:from>
        <xdr:to>
          <xdr:col>1</xdr:col>
          <xdr:colOff>1847850</xdr:colOff>
          <xdr:row>10</xdr:row>
          <xdr:rowOff>66675</xdr:rowOff>
        </xdr:to>
        <xdr:sp macro="" textlink="">
          <xdr:nvSpPr>
            <xdr:cNvPr id="3074" name="CommandButtonMiseEnBarr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franck.collaudin@ata-habitat.com" TargetMode="External"/><Relationship Id="rId2" Type="http://schemas.openxmlformats.org/officeDocument/2006/relationships/hyperlink" Target="mailto:ziad.zakarya@ata-habitat.com" TargetMode="External"/><Relationship Id="rId1" Type="http://schemas.openxmlformats.org/officeDocument/2006/relationships/hyperlink" Target="mailto:yves.rey@ata-habitat.com" TargetMode="External"/><Relationship Id="rId5" Type="http://schemas.openxmlformats.org/officeDocument/2006/relationships/hyperlink" Target="mailto:yves.rey@ata-habitat.com" TargetMode="External"/><Relationship Id="rId4" Type="http://schemas.openxmlformats.org/officeDocument/2006/relationships/hyperlink" Target="mailto:franck.collaudin@ata-habita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F2E2-E22D-4BD9-A9BF-8297A56EEA08}">
  <sheetPr codeName="Feuil1"/>
  <dimension ref="A1:B7"/>
  <sheetViews>
    <sheetView showGridLines="0" tabSelected="1" zoomScale="68" workbookViewId="0">
      <selection activeCell="B18" sqref="B18"/>
    </sheetView>
  </sheetViews>
  <sheetFormatPr baseColWidth="10" defaultRowHeight="15" x14ac:dyDescent="0.25"/>
  <cols>
    <col min="1" max="1" width="28" customWidth="1"/>
    <col min="2" max="2" width="59" bestFit="1" customWidth="1"/>
  </cols>
  <sheetData>
    <row r="1" spans="1:2" ht="31.5" x14ac:dyDescent="0.5">
      <c r="A1" s="21" t="s">
        <v>121</v>
      </c>
      <c r="B1" s="21"/>
    </row>
    <row r="3" spans="1:2" ht="25.5" customHeight="1" x14ac:dyDescent="0.25">
      <c r="A3" s="10" t="s">
        <v>152</v>
      </c>
      <c r="B3" s="15" t="s">
        <v>179</v>
      </c>
    </row>
    <row r="4" spans="1:2" ht="25.5" customHeight="1" x14ac:dyDescent="0.25">
      <c r="A4" s="10" t="s">
        <v>127</v>
      </c>
      <c r="B4" s="15" t="s">
        <v>119</v>
      </c>
    </row>
    <row r="5" spans="1:2" ht="25.5" customHeight="1" x14ac:dyDescent="0.25">
      <c r="A5" s="10" t="s">
        <v>123</v>
      </c>
      <c r="B5" s="15" t="s">
        <v>178</v>
      </c>
    </row>
    <row r="6" spans="1:2" ht="25.5" customHeight="1" x14ac:dyDescent="0.25">
      <c r="A6" s="10" t="s">
        <v>124</v>
      </c>
      <c r="B6" s="15" t="s">
        <v>178</v>
      </c>
    </row>
    <row r="7" spans="1:2" ht="30" x14ac:dyDescent="0.25">
      <c r="A7" s="10" t="s">
        <v>122</v>
      </c>
      <c r="B7" s="17" t="s">
        <v>187</v>
      </c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Nomenclature">
          <controlPr defaultSize="0" autoLine="0" r:id="rId5">
            <anchor moveWithCells="1">
              <from>
                <xdr:col>2</xdr:col>
                <xdr:colOff>9525</xdr:colOff>
                <xdr:row>6</xdr:row>
                <xdr:rowOff>9525</xdr:rowOff>
              </from>
              <to>
                <xdr:col>2</xdr:col>
                <xdr:colOff>323850</xdr:colOff>
                <xdr:row>6</xdr:row>
                <xdr:rowOff>333375</xdr:rowOff>
              </to>
            </anchor>
          </controlPr>
        </control>
      </mc:Choice>
      <mc:Fallback>
        <control shapeId="3073" r:id="rId4" name="CommandButtonNomenclature"/>
      </mc:Fallback>
    </mc:AlternateContent>
    <mc:AlternateContent xmlns:mc="http://schemas.openxmlformats.org/markup-compatibility/2006">
      <mc:Choice Requires="x14">
        <control shapeId="3074" r:id="rId6" name="CommandButtonMiseEnBarre">
          <controlPr defaultSize="0" autoLine="0" r:id="rId7">
            <anchor moveWithCells="1">
              <from>
                <xdr:col>1</xdr:col>
                <xdr:colOff>0</xdr:colOff>
                <xdr:row>8</xdr:row>
                <xdr:rowOff>104775</xdr:rowOff>
              </from>
              <to>
                <xdr:col>1</xdr:col>
                <xdr:colOff>1866900</xdr:colOff>
                <xdr:row>10</xdr:row>
                <xdr:rowOff>47625</xdr:rowOff>
              </to>
            </anchor>
          </controlPr>
        </control>
      </mc:Choice>
      <mc:Fallback>
        <control shapeId="3074" r:id="rId6" name="CommandButtonMiseEnBarr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F9584C-1D48-44FE-A6F9-C8CBCEC53300}">
          <x14:formula1>
            <xm:f>Accessoires!$1:$1</xm:f>
          </x14:formula1>
          <xm:sqref>B4</xm:sqref>
        </x14:dataValidation>
        <x14:dataValidation type="list" allowBlank="1" showInputMessage="1" showErrorMessage="1" xr:uid="{83A13831-DD39-49CF-BDE9-CEABA17C6A90}">
          <x14:formula1>
            <xm:f>Couleurs!$A:$A</xm:f>
          </x14:formula1>
          <xm:sqref>B5:B6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BC20-CF1D-4022-835A-A4B62E661A7F}">
  <sheetPr codeName="Feuil4">
    <tabColor theme="1"/>
  </sheetPr>
  <dimension ref="A1:G92"/>
  <sheetViews>
    <sheetView topLeftCell="A72" zoomScale="78" workbookViewId="0">
      <selection activeCell="G90" sqref="G90:G92"/>
    </sheetView>
  </sheetViews>
  <sheetFormatPr baseColWidth="10" defaultColWidth="11.42578125" defaultRowHeight="15" x14ac:dyDescent="0.25"/>
  <cols>
    <col min="1" max="3" width="17.5703125" style="3" bestFit="1" customWidth="1"/>
    <col min="4" max="4" width="31.85546875" style="3" bestFit="1" customWidth="1"/>
    <col min="5" max="5" width="12.28515625" style="3" bestFit="1" customWidth="1"/>
    <col min="6" max="7" width="9.5703125" style="3" bestFit="1" customWidth="1"/>
    <col min="8" max="16384" width="11.42578125" style="3"/>
  </cols>
  <sheetData>
    <row r="1" spans="1:7" s="6" customFormat="1" ht="39" customHeight="1" x14ac:dyDescent="0.25">
      <c r="A1" s="7" t="s">
        <v>158</v>
      </c>
      <c r="B1" s="7" t="s">
        <v>125</v>
      </c>
      <c r="C1" s="7" t="s">
        <v>42</v>
      </c>
      <c r="D1" s="7" t="s">
        <v>43</v>
      </c>
      <c r="E1" s="7" t="s">
        <v>44</v>
      </c>
      <c r="F1" s="7" t="s">
        <v>126</v>
      </c>
      <c r="G1" s="7" t="s">
        <v>186</v>
      </c>
    </row>
    <row r="2" spans="1:7" x14ac:dyDescent="0.25">
      <c r="A2" s="3" t="s">
        <v>162</v>
      </c>
      <c r="B2" s="3" t="s">
        <v>39</v>
      </c>
      <c r="C2" s="3">
        <v>7701</v>
      </c>
      <c r="D2" s="3" t="s">
        <v>40</v>
      </c>
      <c r="E2" s="3">
        <v>10</v>
      </c>
      <c r="F2" s="3" t="s">
        <v>96</v>
      </c>
    </row>
    <row r="3" spans="1:7" x14ac:dyDescent="0.25">
      <c r="A3" s="3" t="s">
        <v>162</v>
      </c>
      <c r="B3" s="3" t="s">
        <v>39</v>
      </c>
      <c r="C3" s="3">
        <v>7702</v>
      </c>
      <c r="D3" s="3" t="s">
        <v>41</v>
      </c>
      <c r="E3" s="3">
        <v>10</v>
      </c>
      <c r="F3" s="3" t="s">
        <v>96</v>
      </c>
    </row>
    <row r="4" spans="1:7" x14ac:dyDescent="0.25">
      <c r="A4" s="3" t="s">
        <v>162</v>
      </c>
      <c r="B4" s="3" t="s">
        <v>39</v>
      </c>
      <c r="C4" s="3">
        <v>7775</v>
      </c>
      <c r="D4" s="3" t="s">
        <v>97</v>
      </c>
      <c r="E4" s="3">
        <v>2</v>
      </c>
      <c r="F4" s="3" t="s">
        <v>96</v>
      </c>
    </row>
    <row r="5" spans="1:7" x14ac:dyDescent="0.25">
      <c r="A5" s="3" t="s">
        <v>162</v>
      </c>
      <c r="B5" s="3" t="s">
        <v>39</v>
      </c>
      <c r="C5" s="3">
        <v>7721</v>
      </c>
      <c r="D5" s="3" t="s">
        <v>98</v>
      </c>
      <c r="E5" s="3">
        <v>100</v>
      </c>
      <c r="F5" s="3" t="s">
        <v>96</v>
      </c>
    </row>
    <row r="6" spans="1:7" x14ac:dyDescent="0.25">
      <c r="A6" s="3" t="s">
        <v>162</v>
      </c>
      <c r="B6" s="3" t="s">
        <v>39</v>
      </c>
      <c r="C6" s="3">
        <v>7075</v>
      </c>
      <c r="D6" s="3" t="s">
        <v>99</v>
      </c>
      <c r="E6" s="3">
        <v>1</v>
      </c>
      <c r="F6" s="3" t="s">
        <v>96</v>
      </c>
    </row>
    <row r="7" spans="1:7" x14ac:dyDescent="0.25">
      <c r="A7" s="3" t="s">
        <v>162</v>
      </c>
      <c r="B7" s="3" t="s">
        <v>39</v>
      </c>
      <c r="C7" s="3">
        <v>7772</v>
      </c>
      <c r="D7" s="3" t="s">
        <v>100</v>
      </c>
      <c r="E7" s="3">
        <v>2</v>
      </c>
      <c r="F7" s="3" t="s">
        <v>96</v>
      </c>
    </row>
    <row r="8" spans="1:7" x14ac:dyDescent="0.25">
      <c r="A8" s="3" t="s">
        <v>162</v>
      </c>
      <c r="B8" s="3" t="s">
        <v>39</v>
      </c>
      <c r="C8" s="3">
        <v>7728</v>
      </c>
      <c r="D8" s="3" t="s">
        <v>101</v>
      </c>
      <c r="E8" s="3">
        <v>1</v>
      </c>
      <c r="F8" s="3" t="s">
        <v>96</v>
      </c>
    </row>
    <row r="9" spans="1:7" x14ac:dyDescent="0.25">
      <c r="A9" s="3" t="s">
        <v>162</v>
      </c>
      <c r="B9" s="3" t="s">
        <v>39</v>
      </c>
      <c r="C9" s="3">
        <v>7713</v>
      </c>
      <c r="D9" s="3" t="s">
        <v>102</v>
      </c>
      <c r="E9" s="3">
        <v>1</v>
      </c>
      <c r="F9" s="3" t="s">
        <v>96</v>
      </c>
    </row>
    <row r="10" spans="1:7" x14ac:dyDescent="0.25">
      <c r="A10" s="3" t="s">
        <v>162</v>
      </c>
      <c r="B10" s="3" t="s">
        <v>39</v>
      </c>
      <c r="C10" s="3">
        <v>7110</v>
      </c>
      <c r="D10" s="3" t="s">
        <v>113</v>
      </c>
      <c r="E10" s="3">
        <v>2</v>
      </c>
      <c r="F10" s="3" t="s">
        <v>96</v>
      </c>
    </row>
    <row r="11" spans="1:7" x14ac:dyDescent="0.25">
      <c r="A11" s="3" t="s">
        <v>162</v>
      </c>
      <c r="B11" s="3" t="s">
        <v>39</v>
      </c>
      <c r="C11" s="3">
        <v>7113</v>
      </c>
      <c r="D11" s="3" t="s">
        <v>114</v>
      </c>
      <c r="E11" s="3">
        <v>2</v>
      </c>
      <c r="F11" s="3" t="s">
        <v>96</v>
      </c>
    </row>
    <row r="12" spans="1:7" x14ac:dyDescent="0.25">
      <c r="A12" s="3" t="s">
        <v>162</v>
      </c>
      <c r="B12" s="3" t="s">
        <v>39</v>
      </c>
      <c r="C12" s="3">
        <v>7041</v>
      </c>
      <c r="D12" s="3" t="s">
        <v>115</v>
      </c>
      <c r="E12" s="3">
        <v>1</v>
      </c>
      <c r="F12" s="3" t="s">
        <v>96</v>
      </c>
    </row>
    <row r="13" spans="1:7" x14ac:dyDescent="0.25">
      <c r="A13" s="3" t="s">
        <v>162</v>
      </c>
      <c r="B13" s="3" t="s">
        <v>39</v>
      </c>
      <c r="C13" s="3">
        <v>7140</v>
      </c>
      <c r="D13" s="3" t="s">
        <v>116</v>
      </c>
      <c r="E13" s="3">
        <v>1</v>
      </c>
      <c r="F13" s="3" t="s">
        <v>96</v>
      </c>
    </row>
    <row r="14" spans="1:7" x14ac:dyDescent="0.25">
      <c r="A14" s="3" t="s">
        <v>162</v>
      </c>
      <c r="B14" s="3" t="s">
        <v>39</v>
      </c>
      <c r="C14" s="3">
        <v>7715</v>
      </c>
      <c r="D14" s="3" t="s">
        <v>117</v>
      </c>
      <c r="E14" s="3">
        <v>1</v>
      </c>
      <c r="F14" s="3" t="s">
        <v>96</v>
      </c>
    </row>
    <row r="15" spans="1:7" x14ac:dyDescent="0.25">
      <c r="A15" s="3" t="s">
        <v>162</v>
      </c>
      <c r="B15" s="3" t="s">
        <v>39</v>
      </c>
      <c r="C15" s="3">
        <v>7704</v>
      </c>
      <c r="D15" s="3" t="s">
        <v>118</v>
      </c>
      <c r="E15" s="3">
        <v>1</v>
      </c>
      <c r="F15" s="3" t="s">
        <v>96</v>
      </c>
    </row>
    <row r="16" spans="1:7" x14ac:dyDescent="0.25">
      <c r="A16" s="3" t="s">
        <v>162</v>
      </c>
      <c r="B16" s="3" t="s">
        <v>13</v>
      </c>
      <c r="C16" s="3">
        <v>7065</v>
      </c>
      <c r="D16" s="3" t="s">
        <v>22</v>
      </c>
      <c r="E16" s="3">
        <v>25</v>
      </c>
      <c r="F16" s="3" t="s">
        <v>45</v>
      </c>
    </row>
    <row r="17" spans="1:6" x14ac:dyDescent="0.25">
      <c r="A17" s="3" t="s">
        <v>162</v>
      </c>
      <c r="B17" s="3" t="s">
        <v>9</v>
      </c>
      <c r="C17" s="3">
        <v>7026</v>
      </c>
      <c r="D17" s="3" t="s">
        <v>54</v>
      </c>
      <c r="E17" s="3">
        <v>6.5</v>
      </c>
      <c r="F17" s="3" t="s">
        <v>45</v>
      </c>
    </row>
    <row r="18" spans="1:6" x14ac:dyDescent="0.25">
      <c r="A18" s="3" t="s">
        <v>162</v>
      </c>
      <c r="B18" s="3" t="s">
        <v>9</v>
      </c>
      <c r="C18" s="3">
        <v>7603</v>
      </c>
      <c r="D18" s="3" t="s">
        <v>61</v>
      </c>
      <c r="E18" s="3">
        <v>6.5</v>
      </c>
      <c r="F18" s="3" t="s">
        <v>45</v>
      </c>
    </row>
    <row r="19" spans="1:6" x14ac:dyDescent="0.25">
      <c r="A19" s="3" t="s">
        <v>162</v>
      </c>
      <c r="B19" s="3" t="s">
        <v>9</v>
      </c>
      <c r="C19" s="3">
        <v>7604</v>
      </c>
      <c r="D19" s="3" t="s">
        <v>62</v>
      </c>
      <c r="E19" s="3">
        <v>6.5</v>
      </c>
      <c r="F19" s="3" t="s">
        <v>45</v>
      </c>
    </row>
    <row r="20" spans="1:6" x14ac:dyDescent="0.25">
      <c r="A20" s="3" t="s">
        <v>162</v>
      </c>
      <c r="B20" s="3" t="s">
        <v>9</v>
      </c>
      <c r="C20" s="3">
        <v>7605</v>
      </c>
      <c r="D20" s="3" t="s">
        <v>63</v>
      </c>
      <c r="E20" s="3">
        <v>6.5</v>
      </c>
      <c r="F20" s="3" t="s">
        <v>45</v>
      </c>
    </row>
    <row r="21" spans="1:6" x14ac:dyDescent="0.25">
      <c r="A21" s="3" t="s">
        <v>162</v>
      </c>
      <c r="B21" s="3" t="s">
        <v>9</v>
      </c>
      <c r="C21" s="3" t="s">
        <v>64</v>
      </c>
      <c r="D21" s="3" t="s">
        <v>65</v>
      </c>
      <c r="E21" s="3">
        <v>4.5</v>
      </c>
      <c r="F21" s="3" t="s">
        <v>45</v>
      </c>
    </row>
    <row r="22" spans="1:6" x14ac:dyDescent="0.25">
      <c r="A22" s="3" t="s">
        <v>162</v>
      </c>
      <c r="B22" s="3" t="s">
        <v>9</v>
      </c>
      <c r="C22" s="3" t="s">
        <v>66</v>
      </c>
      <c r="D22" s="3" t="s">
        <v>65</v>
      </c>
      <c r="E22" s="3">
        <v>6.5</v>
      </c>
      <c r="F22" s="3" t="s">
        <v>45</v>
      </c>
    </row>
    <row r="23" spans="1:6" x14ac:dyDescent="0.25">
      <c r="A23" s="3" t="s">
        <v>162</v>
      </c>
      <c r="B23" s="3" t="s">
        <v>9</v>
      </c>
      <c r="C23" s="3">
        <v>7646</v>
      </c>
      <c r="D23" s="3" t="s">
        <v>21</v>
      </c>
      <c r="E23" s="3">
        <v>6.5</v>
      </c>
      <c r="F23" s="3" t="s">
        <v>45</v>
      </c>
    </row>
    <row r="24" spans="1:6" x14ac:dyDescent="0.25">
      <c r="A24" s="3" t="s">
        <v>162</v>
      </c>
      <c r="B24" s="3" t="s">
        <v>9</v>
      </c>
      <c r="C24" s="3" t="s">
        <v>75</v>
      </c>
      <c r="D24" s="3" t="s">
        <v>21</v>
      </c>
      <c r="E24" s="3">
        <v>4.7</v>
      </c>
      <c r="F24" s="3" t="s">
        <v>45</v>
      </c>
    </row>
    <row r="25" spans="1:6" x14ac:dyDescent="0.25">
      <c r="A25" s="3" t="s">
        <v>162</v>
      </c>
      <c r="B25" s="3" t="s">
        <v>9</v>
      </c>
      <c r="C25" s="3" t="s">
        <v>18</v>
      </c>
      <c r="D25" s="3" t="s">
        <v>19</v>
      </c>
      <c r="E25" s="3">
        <v>6.5</v>
      </c>
      <c r="F25" s="3" t="s">
        <v>45</v>
      </c>
    </row>
    <row r="26" spans="1:6" x14ac:dyDescent="0.25">
      <c r="A26" s="3" t="s">
        <v>162</v>
      </c>
      <c r="B26" s="3" t="s">
        <v>9</v>
      </c>
      <c r="C26" s="3">
        <v>7133</v>
      </c>
      <c r="D26" s="3" t="s">
        <v>35</v>
      </c>
      <c r="E26" s="3">
        <v>6.5</v>
      </c>
      <c r="F26" s="3" t="s">
        <v>45</v>
      </c>
    </row>
    <row r="27" spans="1:6" x14ac:dyDescent="0.25">
      <c r="A27" s="3" t="s">
        <v>162</v>
      </c>
      <c r="B27" s="3" t="s">
        <v>9</v>
      </c>
      <c r="C27" s="3">
        <v>7134</v>
      </c>
      <c r="D27" s="3" t="s">
        <v>103</v>
      </c>
      <c r="E27" s="3">
        <v>6.5</v>
      </c>
      <c r="F27" s="3" t="s">
        <v>45</v>
      </c>
    </row>
    <row r="28" spans="1:6" x14ac:dyDescent="0.25">
      <c r="A28" s="3" t="s">
        <v>162</v>
      </c>
      <c r="B28" s="3" t="s">
        <v>9</v>
      </c>
      <c r="C28" s="3">
        <v>7779</v>
      </c>
      <c r="D28" s="3" t="s">
        <v>104</v>
      </c>
      <c r="E28" s="3">
        <v>6.5</v>
      </c>
      <c r="F28" s="3" t="s">
        <v>45</v>
      </c>
    </row>
    <row r="29" spans="1:6" x14ac:dyDescent="0.25">
      <c r="A29" s="3" t="s">
        <v>162</v>
      </c>
      <c r="B29" s="3" t="s">
        <v>9</v>
      </c>
      <c r="C29" s="3">
        <v>7784</v>
      </c>
      <c r="D29" s="3" t="s">
        <v>23</v>
      </c>
      <c r="E29" s="3">
        <v>6.5</v>
      </c>
      <c r="F29" s="3" t="s">
        <v>45</v>
      </c>
    </row>
    <row r="30" spans="1:6" x14ac:dyDescent="0.25">
      <c r="A30" s="3" t="s">
        <v>162</v>
      </c>
      <c r="B30" s="3" t="s">
        <v>9</v>
      </c>
      <c r="C30" s="3" t="s">
        <v>105</v>
      </c>
      <c r="D30" s="3" t="s">
        <v>106</v>
      </c>
      <c r="E30" s="3">
        <v>4</v>
      </c>
      <c r="F30" s="3" t="s">
        <v>45</v>
      </c>
    </row>
    <row r="31" spans="1:6" x14ac:dyDescent="0.25">
      <c r="A31" s="3" t="s">
        <v>162</v>
      </c>
      <c r="B31" s="3" t="s">
        <v>9</v>
      </c>
      <c r="C31" s="3">
        <v>7785</v>
      </c>
      <c r="D31" s="3" t="s">
        <v>107</v>
      </c>
      <c r="E31" s="3">
        <v>6.5</v>
      </c>
      <c r="F31" s="3" t="s">
        <v>45</v>
      </c>
    </row>
    <row r="32" spans="1:6" x14ac:dyDescent="0.25">
      <c r="A32" s="3" t="s">
        <v>162</v>
      </c>
      <c r="B32" s="3" t="s">
        <v>9</v>
      </c>
      <c r="C32" s="3" t="s">
        <v>108</v>
      </c>
      <c r="D32" s="3" t="s">
        <v>109</v>
      </c>
      <c r="E32" s="3">
        <v>4</v>
      </c>
      <c r="F32" s="3" t="s">
        <v>45</v>
      </c>
    </row>
    <row r="33" spans="1:6" x14ac:dyDescent="0.25">
      <c r="A33" s="3" t="s">
        <v>162</v>
      </c>
      <c r="B33" s="3" t="s">
        <v>9</v>
      </c>
      <c r="C33" s="3">
        <v>7796</v>
      </c>
      <c r="D33" s="3" t="s">
        <v>110</v>
      </c>
      <c r="E33" s="3">
        <v>6.5</v>
      </c>
      <c r="F33" s="3" t="s">
        <v>45</v>
      </c>
    </row>
    <row r="34" spans="1:6" x14ac:dyDescent="0.25">
      <c r="A34" s="3" t="s">
        <v>162</v>
      </c>
      <c r="B34" s="3" t="s">
        <v>9</v>
      </c>
      <c r="C34" s="3" t="s">
        <v>111</v>
      </c>
      <c r="D34" s="3" t="s">
        <v>110</v>
      </c>
      <c r="E34" s="3">
        <v>4</v>
      </c>
      <c r="F34" s="3" t="s">
        <v>45</v>
      </c>
    </row>
    <row r="35" spans="1:6" x14ac:dyDescent="0.25">
      <c r="A35" s="3" t="s">
        <v>162</v>
      </c>
      <c r="B35" s="3" t="s">
        <v>9</v>
      </c>
      <c r="C35" s="3">
        <v>7798</v>
      </c>
      <c r="D35" s="3" t="s">
        <v>112</v>
      </c>
      <c r="E35" s="3">
        <v>6.5</v>
      </c>
      <c r="F35" s="3" t="s">
        <v>45</v>
      </c>
    </row>
    <row r="36" spans="1:6" x14ac:dyDescent="0.25">
      <c r="A36" s="3" t="s">
        <v>161</v>
      </c>
      <c r="B36" s="3" t="s">
        <v>13</v>
      </c>
      <c r="C36" s="3">
        <v>7062</v>
      </c>
      <c r="D36" s="3" t="s">
        <v>29</v>
      </c>
      <c r="E36" s="3">
        <v>50</v>
      </c>
      <c r="F36" s="3" t="s">
        <v>45</v>
      </c>
    </row>
    <row r="37" spans="1:6" x14ac:dyDescent="0.25">
      <c r="A37" s="3" t="s">
        <v>161</v>
      </c>
      <c r="B37" s="3" t="s">
        <v>13</v>
      </c>
      <c r="C37" s="3">
        <v>7072</v>
      </c>
      <c r="D37" s="3" t="s">
        <v>14</v>
      </c>
      <c r="E37" s="3">
        <v>50</v>
      </c>
      <c r="F37" s="3" t="s">
        <v>45</v>
      </c>
    </row>
    <row r="38" spans="1:6" x14ac:dyDescent="0.25">
      <c r="A38" s="3" t="s">
        <v>161</v>
      </c>
      <c r="B38" s="3" t="s">
        <v>13</v>
      </c>
      <c r="C38" s="3">
        <v>8602</v>
      </c>
      <c r="D38" s="3" t="s">
        <v>86</v>
      </c>
      <c r="E38" s="3">
        <v>50</v>
      </c>
      <c r="F38" s="3" t="s">
        <v>45</v>
      </c>
    </row>
    <row r="39" spans="1:6" x14ac:dyDescent="0.25">
      <c r="A39" s="3" t="s">
        <v>161</v>
      </c>
      <c r="B39" s="3" t="s">
        <v>13</v>
      </c>
      <c r="C39" s="3">
        <v>8610</v>
      </c>
      <c r="D39" s="3" t="s">
        <v>87</v>
      </c>
      <c r="E39" s="3">
        <v>50</v>
      </c>
      <c r="F39" s="3" t="s">
        <v>45</v>
      </c>
    </row>
    <row r="40" spans="1:6" x14ac:dyDescent="0.25">
      <c r="A40" s="3" t="s">
        <v>161</v>
      </c>
      <c r="B40" s="3" t="s">
        <v>9</v>
      </c>
      <c r="C40" s="3">
        <v>4053</v>
      </c>
      <c r="D40" s="3" t="s">
        <v>33</v>
      </c>
      <c r="E40" s="3">
        <v>6.5</v>
      </c>
      <c r="F40" s="3" t="s">
        <v>45</v>
      </c>
    </row>
    <row r="41" spans="1:6" x14ac:dyDescent="0.25">
      <c r="A41" s="3" t="s">
        <v>161</v>
      </c>
      <c r="B41" s="3" t="s">
        <v>9</v>
      </c>
      <c r="C41" s="3" t="s">
        <v>53</v>
      </c>
      <c r="D41" s="3" t="s">
        <v>33</v>
      </c>
      <c r="E41" s="3">
        <v>4.8</v>
      </c>
      <c r="F41" s="3" t="s">
        <v>45</v>
      </c>
    </row>
    <row r="42" spans="1:6" x14ac:dyDescent="0.25">
      <c r="A42" s="3" t="s">
        <v>161</v>
      </c>
      <c r="B42" s="3" t="s">
        <v>9</v>
      </c>
      <c r="C42" s="3">
        <v>7058</v>
      </c>
      <c r="D42" s="3" t="s">
        <v>55</v>
      </c>
      <c r="E42" s="3">
        <v>6.5</v>
      </c>
      <c r="F42" s="3" t="s">
        <v>45</v>
      </c>
    </row>
    <row r="43" spans="1:6" x14ac:dyDescent="0.25">
      <c r="A43" s="3" t="s">
        <v>161</v>
      </c>
      <c r="B43" s="3" t="s">
        <v>9</v>
      </c>
      <c r="C43" s="3" t="s">
        <v>56</v>
      </c>
      <c r="D43" s="3" t="s">
        <v>55</v>
      </c>
      <c r="E43" s="3">
        <v>4.5</v>
      </c>
      <c r="F43" s="3" t="s">
        <v>45</v>
      </c>
    </row>
    <row r="44" spans="1:6" x14ac:dyDescent="0.25">
      <c r="A44" s="3" t="s">
        <v>161</v>
      </c>
      <c r="B44" s="3" t="s">
        <v>9</v>
      </c>
      <c r="C44" s="3">
        <v>7621</v>
      </c>
      <c r="D44" s="3" t="s">
        <v>67</v>
      </c>
      <c r="E44" s="3">
        <v>6.5</v>
      </c>
      <c r="F44" s="3" t="s">
        <v>45</v>
      </c>
    </row>
    <row r="45" spans="1:6" x14ac:dyDescent="0.25">
      <c r="A45" s="3" t="s">
        <v>161</v>
      </c>
      <c r="B45" s="3" t="s">
        <v>9</v>
      </c>
      <c r="C45" s="3" t="s">
        <v>68</v>
      </c>
      <c r="D45" s="3" t="s">
        <v>67</v>
      </c>
      <c r="E45" s="3">
        <v>4.7</v>
      </c>
      <c r="F45" s="3" t="s">
        <v>45</v>
      </c>
    </row>
    <row r="46" spans="1:6" x14ac:dyDescent="0.25">
      <c r="A46" s="3" t="s">
        <v>161</v>
      </c>
      <c r="B46" s="3" t="s">
        <v>9</v>
      </c>
      <c r="C46" s="3">
        <v>7622</v>
      </c>
      <c r="D46" s="3" t="s">
        <v>69</v>
      </c>
      <c r="E46" s="3">
        <v>6.5</v>
      </c>
      <c r="F46" s="3" t="s">
        <v>45</v>
      </c>
    </row>
    <row r="47" spans="1:6" x14ac:dyDescent="0.25">
      <c r="A47" s="3" t="s">
        <v>161</v>
      </c>
      <c r="B47" s="3" t="s">
        <v>9</v>
      </c>
      <c r="C47" s="3">
        <v>7624</v>
      </c>
      <c r="D47" s="3" t="s">
        <v>70</v>
      </c>
      <c r="E47" s="3">
        <v>6.5</v>
      </c>
      <c r="F47" s="3" t="s">
        <v>45</v>
      </c>
    </row>
    <row r="48" spans="1:6" x14ac:dyDescent="0.25">
      <c r="A48" s="3" t="s">
        <v>161</v>
      </c>
      <c r="B48" s="3" t="s">
        <v>9</v>
      </c>
      <c r="C48" s="3" t="s">
        <v>71</v>
      </c>
      <c r="D48" s="3" t="s">
        <v>70</v>
      </c>
      <c r="E48" s="3">
        <v>4.7</v>
      </c>
      <c r="F48" s="3" t="s">
        <v>45</v>
      </c>
    </row>
    <row r="49" spans="1:6" x14ac:dyDescent="0.25">
      <c r="A49" s="3" t="s">
        <v>161</v>
      </c>
      <c r="B49" s="3" t="s">
        <v>9</v>
      </c>
      <c r="C49" s="3">
        <v>7642</v>
      </c>
      <c r="D49" s="3" t="s">
        <v>73</v>
      </c>
      <c r="E49" s="3">
        <v>6.5</v>
      </c>
      <c r="F49" s="3" t="s">
        <v>45</v>
      </c>
    </row>
    <row r="50" spans="1:6" x14ac:dyDescent="0.25">
      <c r="A50" s="3" t="s">
        <v>161</v>
      </c>
      <c r="B50" s="3" t="s">
        <v>9</v>
      </c>
      <c r="C50" s="3" t="s">
        <v>74</v>
      </c>
      <c r="D50" s="3" t="s">
        <v>73</v>
      </c>
      <c r="E50" s="3">
        <v>4.7</v>
      </c>
      <c r="F50" s="3" t="s">
        <v>45</v>
      </c>
    </row>
    <row r="51" spans="1:6" x14ac:dyDescent="0.25">
      <c r="A51" s="3" t="s">
        <v>161</v>
      </c>
      <c r="B51" s="3" t="s">
        <v>9</v>
      </c>
      <c r="C51" s="3">
        <v>7649</v>
      </c>
      <c r="D51" s="3" t="s">
        <v>76</v>
      </c>
      <c r="E51" s="3">
        <v>6.5</v>
      </c>
      <c r="F51" s="3" t="s">
        <v>45</v>
      </c>
    </row>
    <row r="52" spans="1:6" x14ac:dyDescent="0.25">
      <c r="A52" s="3" t="s">
        <v>161</v>
      </c>
      <c r="B52" s="3" t="s">
        <v>9</v>
      </c>
      <c r="C52" s="3" t="s">
        <v>77</v>
      </c>
      <c r="D52" s="3" t="s">
        <v>76</v>
      </c>
      <c r="E52" s="3">
        <v>4.7</v>
      </c>
      <c r="F52" s="3" t="s">
        <v>45</v>
      </c>
    </row>
    <row r="53" spans="1:6" x14ac:dyDescent="0.25">
      <c r="A53" s="3" t="s">
        <v>161</v>
      </c>
      <c r="B53" s="3" t="s">
        <v>9</v>
      </c>
      <c r="C53" s="3">
        <v>7653</v>
      </c>
      <c r="D53" s="3" t="s">
        <v>78</v>
      </c>
      <c r="E53" s="3">
        <v>6.5</v>
      </c>
      <c r="F53" s="3" t="s">
        <v>45</v>
      </c>
    </row>
    <row r="54" spans="1:6" x14ac:dyDescent="0.25">
      <c r="A54" s="3" t="s">
        <v>161</v>
      </c>
      <c r="B54" s="3" t="s">
        <v>9</v>
      </c>
      <c r="C54" s="3" t="s">
        <v>79</v>
      </c>
      <c r="D54" s="3" t="s">
        <v>78</v>
      </c>
      <c r="E54" s="3">
        <v>4</v>
      </c>
      <c r="F54" s="3" t="s">
        <v>45</v>
      </c>
    </row>
    <row r="55" spans="1:6" x14ac:dyDescent="0.25">
      <c r="A55" s="3" t="s">
        <v>161</v>
      </c>
      <c r="B55" s="3" t="s">
        <v>9</v>
      </c>
      <c r="C55" s="3" t="s">
        <v>80</v>
      </c>
      <c r="D55" s="3" t="s">
        <v>81</v>
      </c>
      <c r="E55" s="3">
        <v>4.7</v>
      </c>
      <c r="F55" s="3" t="s">
        <v>45</v>
      </c>
    </row>
    <row r="56" spans="1:6" x14ac:dyDescent="0.25">
      <c r="A56" s="3" t="s">
        <v>161</v>
      </c>
      <c r="B56" s="3" t="s">
        <v>9</v>
      </c>
      <c r="C56" s="3">
        <v>7661</v>
      </c>
      <c r="D56" s="3" t="s">
        <v>82</v>
      </c>
      <c r="E56" s="3">
        <v>6.5</v>
      </c>
      <c r="F56" s="3" t="s">
        <v>45</v>
      </c>
    </row>
    <row r="57" spans="1:6" x14ac:dyDescent="0.25">
      <c r="A57" s="3" t="s">
        <v>161</v>
      </c>
      <c r="B57" s="3" t="s">
        <v>9</v>
      </c>
      <c r="C57" s="3" t="s">
        <v>83</v>
      </c>
      <c r="D57" s="3" t="s">
        <v>82</v>
      </c>
      <c r="E57" s="3">
        <v>4.7</v>
      </c>
      <c r="F57" s="3" t="s">
        <v>45</v>
      </c>
    </row>
    <row r="58" spans="1:6" x14ac:dyDescent="0.25">
      <c r="A58" s="3" t="s">
        <v>161</v>
      </c>
      <c r="B58" s="3" t="s">
        <v>9</v>
      </c>
      <c r="C58" s="3">
        <v>7671</v>
      </c>
      <c r="D58" s="3" t="s">
        <v>34</v>
      </c>
      <c r="E58" s="3">
        <v>6.5</v>
      </c>
      <c r="F58" s="3" t="s">
        <v>45</v>
      </c>
    </row>
    <row r="59" spans="1:6" x14ac:dyDescent="0.25">
      <c r="A59" s="3" t="s">
        <v>161</v>
      </c>
      <c r="B59" s="3" t="s">
        <v>9</v>
      </c>
      <c r="C59" s="3">
        <v>7675</v>
      </c>
      <c r="D59" s="3" t="s">
        <v>15</v>
      </c>
      <c r="E59" s="3">
        <v>6.5</v>
      </c>
      <c r="F59" s="3" t="s">
        <v>45</v>
      </c>
    </row>
    <row r="60" spans="1:6" x14ac:dyDescent="0.25">
      <c r="A60" s="3" t="s">
        <v>161</v>
      </c>
      <c r="B60" s="3" t="s">
        <v>9</v>
      </c>
      <c r="C60" s="3">
        <v>7676</v>
      </c>
      <c r="D60" s="3" t="s">
        <v>20</v>
      </c>
      <c r="E60" s="3">
        <v>6.5</v>
      </c>
      <c r="F60" s="3" t="s">
        <v>45</v>
      </c>
    </row>
    <row r="61" spans="1:6" x14ac:dyDescent="0.25">
      <c r="A61" s="3" t="s">
        <v>161</v>
      </c>
      <c r="B61" s="3" t="s">
        <v>9</v>
      </c>
      <c r="C61" s="3">
        <v>7690</v>
      </c>
      <c r="D61" s="3" t="s">
        <v>84</v>
      </c>
      <c r="E61" s="3">
        <v>6.5</v>
      </c>
      <c r="F61" s="3" t="s">
        <v>45</v>
      </c>
    </row>
    <row r="62" spans="1:6" x14ac:dyDescent="0.25">
      <c r="A62" s="3" t="s">
        <v>161</v>
      </c>
      <c r="B62" s="3" t="s">
        <v>9</v>
      </c>
      <c r="C62" s="3" t="s">
        <v>25</v>
      </c>
      <c r="D62" s="3" t="s">
        <v>26</v>
      </c>
      <c r="E62" s="3">
        <v>6.5</v>
      </c>
      <c r="F62" s="3" t="s">
        <v>45</v>
      </c>
    </row>
    <row r="63" spans="1:6" x14ac:dyDescent="0.25">
      <c r="A63" s="3" t="s">
        <v>161</v>
      </c>
      <c r="B63" s="3" t="s">
        <v>9</v>
      </c>
      <c r="C63" s="3">
        <v>7817</v>
      </c>
      <c r="D63" s="3" t="s">
        <v>28</v>
      </c>
      <c r="E63" s="3">
        <v>6.5</v>
      </c>
      <c r="F63" s="3" t="s">
        <v>45</v>
      </c>
    </row>
    <row r="64" spans="1:6" x14ac:dyDescent="0.25">
      <c r="A64" s="3" t="s">
        <v>161</v>
      </c>
      <c r="B64" s="3" t="s">
        <v>9</v>
      </c>
      <c r="C64" s="3">
        <v>7818</v>
      </c>
      <c r="D64" s="3" t="s">
        <v>30</v>
      </c>
      <c r="E64" s="3">
        <v>6.5</v>
      </c>
      <c r="F64" s="3" t="s">
        <v>45</v>
      </c>
    </row>
    <row r="65" spans="1:6" x14ac:dyDescent="0.25">
      <c r="A65" s="3" t="s">
        <v>161</v>
      </c>
      <c r="B65" s="3" t="s">
        <v>9</v>
      </c>
      <c r="C65" s="3">
        <v>7819</v>
      </c>
      <c r="D65" s="3" t="s">
        <v>24</v>
      </c>
      <c r="E65" s="3">
        <v>6.5</v>
      </c>
      <c r="F65" s="3" t="s">
        <v>45</v>
      </c>
    </row>
    <row r="66" spans="1:6" x14ac:dyDescent="0.25">
      <c r="A66" s="3" t="s">
        <v>161</v>
      </c>
      <c r="B66" s="3" t="s">
        <v>9</v>
      </c>
      <c r="C66" s="3" t="s">
        <v>85</v>
      </c>
      <c r="D66" s="3" t="s">
        <v>24</v>
      </c>
      <c r="E66" s="3">
        <v>4.7</v>
      </c>
      <c r="F66" s="3" t="s">
        <v>45</v>
      </c>
    </row>
    <row r="67" spans="1:6" x14ac:dyDescent="0.25">
      <c r="A67" s="3" t="s">
        <v>161</v>
      </c>
      <c r="B67" s="3" t="s">
        <v>9</v>
      </c>
      <c r="C67" s="3">
        <v>410078</v>
      </c>
      <c r="D67" s="3" t="s">
        <v>88</v>
      </c>
      <c r="E67" s="3">
        <v>6.5</v>
      </c>
      <c r="F67" s="3" t="s">
        <v>45</v>
      </c>
    </row>
    <row r="68" spans="1:6" x14ac:dyDescent="0.25">
      <c r="A68" s="3" t="s">
        <v>160</v>
      </c>
      <c r="B68" s="3" t="s">
        <v>13</v>
      </c>
      <c r="C68" s="3">
        <v>7063</v>
      </c>
      <c r="D68" s="3" t="s">
        <v>57</v>
      </c>
      <c r="E68" s="3">
        <v>25</v>
      </c>
      <c r="F68" s="3" t="s">
        <v>45</v>
      </c>
    </row>
    <row r="69" spans="1:6" x14ac:dyDescent="0.25">
      <c r="A69" s="3" t="s">
        <v>160</v>
      </c>
      <c r="B69" s="3" t="s">
        <v>9</v>
      </c>
      <c r="C69" s="3" t="s">
        <v>36</v>
      </c>
      <c r="D69" s="3" t="s">
        <v>37</v>
      </c>
      <c r="E69" s="3">
        <v>6.5</v>
      </c>
      <c r="F69" s="3" t="s">
        <v>45</v>
      </c>
    </row>
    <row r="70" spans="1:6" x14ac:dyDescent="0.25">
      <c r="A70" s="3" t="s">
        <v>160</v>
      </c>
      <c r="B70" s="3" t="s">
        <v>9</v>
      </c>
      <c r="C70" s="3" t="s">
        <v>46</v>
      </c>
      <c r="D70" s="3" t="s">
        <v>47</v>
      </c>
      <c r="E70" s="3">
        <v>6.5</v>
      </c>
      <c r="F70" s="3" t="s">
        <v>45</v>
      </c>
    </row>
    <row r="71" spans="1:6" x14ac:dyDescent="0.25">
      <c r="A71" s="3" t="s">
        <v>160</v>
      </c>
      <c r="B71" s="3" t="s">
        <v>9</v>
      </c>
      <c r="C71" s="3" t="s">
        <v>48</v>
      </c>
      <c r="D71" s="3" t="s">
        <v>49</v>
      </c>
      <c r="E71" s="3">
        <v>6.5</v>
      </c>
      <c r="F71" s="3" t="s">
        <v>45</v>
      </c>
    </row>
    <row r="72" spans="1:6" x14ac:dyDescent="0.25">
      <c r="A72" s="3" t="s">
        <v>160</v>
      </c>
      <c r="B72" s="3" t="s">
        <v>9</v>
      </c>
      <c r="C72" s="3">
        <v>7639</v>
      </c>
      <c r="D72" s="3" t="s">
        <v>72</v>
      </c>
      <c r="E72" s="3">
        <v>6.5</v>
      </c>
      <c r="F72" s="3" t="s">
        <v>45</v>
      </c>
    </row>
    <row r="73" spans="1:6" x14ac:dyDescent="0.25">
      <c r="A73" s="3" t="s">
        <v>160</v>
      </c>
      <c r="B73" s="3" t="s">
        <v>9</v>
      </c>
      <c r="C73" s="3" t="s">
        <v>16</v>
      </c>
      <c r="D73" s="3" t="s">
        <v>17</v>
      </c>
      <c r="E73" s="3">
        <v>6.5</v>
      </c>
      <c r="F73" s="3" t="s">
        <v>45</v>
      </c>
    </row>
    <row r="74" spans="1:6" x14ac:dyDescent="0.25">
      <c r="A74" s="3" t="s">
        <v>160</v>
      </c>
      <c r="B74" s="3" t="s">
        <v>9</v>
      </c>
      <c r="C74" s="3">
        <v>7670</v>
      </c>
      <c r="D74" s="3" t="s">
        <v>10</v>
      </c>
      <c r="E74" s="3">
        <v>6.5</v>
      </c>
      <c r="F74" s="3" t="s">
        <v>45</v>
      </c>
    </row>
    <row r="75" spans="1:6" x14ac:dyDescent="0.25">
      <c r="A75" s="3" t="s">
        <v>160</v>
      </c>
      <c r="B75" s="3" t="s">
        <v>9</v>
      </c>
      <c r="C75" s="3">
        <v>7689</v>
      </c>
      <c r="D75" s="3" t="s">
        <v>12</v>
      </c>
      <c r="E75" s="3">
        <v>6.5</v>
      </c>
      <c r="F75" s="3" t="s">
        <v>45</v>
      </c>
    </row>
    <row r="76" spans="1:6" x14ac:dyDescent="0.25">
      <c r="A76" s="3" t="s">
        <v>159</v>
      </c>
      <c r="B76" s="3" t="s">
        <v>9</v>
      </c>
      <c r="C76" s="3" t="s">
        <v>50</v>
      </c>
      <c r="D76" s="3" t="s">
        <v>51</v>
      </c>
      <c r="E76" s="3">
        <v>4.8</v>
      </c>
      <c r="F76" s="3" t="s">
        <v>45</v>
      </c>
    </row>
    <row r="77" spans="1:6" x14ac:dyDescent="0.25">
      <c r="A77" s="3" t="s">
        <v>159</v>
      </c>
      <c r="B77" s="3" t="s">
        <v>9</v>
      </c>
      <c r="C77" s="3" t="s">
        <v>38</v>
      </c>
      <c r="D77" s="3" t="s">
        <v>51</v>
      </c>
      <c r="E77" s="3">
        <v>6.5</v>
      </c>
      <c r="F77" s="3" t="s">
        <v>45</v>
      </c>
    </row>
    <row r="78" spans="1:6" x14ac:dyDescent="0.25">
      <c r="A78" s="3" t="s">
        <v>159</v>
      </c>
      <c r="B78" s="3" t="s">
        <v>9</v>
      </c>
      <c r="C78" s="3" t="s">
        <v>52</v>
      </c>
      <c r="D78" s="3" t="s">
        <v>32</v>
      </c>
      <c r="E78" s="3">
        <v>4.8</v>
      </c>
      <c r="F78" s="3" t="s">
        <v>45</v>
      </c>
    </row>
    <row r="79" spans="1:6" x14ac:dyDescent="0.25">
      <c r="A79" s="3" t="s">
        <v>159</v>
      </c>
      <c r="B79" s="3" t="s">
        <v>9</v>
      </c>
      <c r="C79" s="3" t="s">
        <v>31</v>
      </c>
      <c r="D79" s="3" t="s">
        <v>32</v>
      </c>
      <c r="E79" s="3">
        <v>6.5</v>
      </c>
      <c r="F79" s="3" t="s">
        <v>45</v>
      </c>
    </row>
    <row r="80" spans="1:6" x14ac:dyDescent="0.25">
      <c r="A80" s="3" t="s">
        <v>159</v>
      </c>
      <c r="B80" s="3" t="s">
        <v>9</v>
      </c>
      <c r="C80" s="3" t="s">
        <v>58</v>
      </c>
      <c r="D80" s="3" t="s">
        <v>59</v>
      </c>
      <c r="E80" s="3">
        <v>4.8</v>
      </c>
      <c r="F80" s="3" t="s">
        <v>45</v>
      </c>
    </row>
    <row r="81" spans="1:7" x14ac:dyDescent="0.25">
      <c r="A81" s="3" t="s">
        <v>159</v>
      </c>
      <c r="B81" s="3" t="s">
        <v>9</v>
      </c>
      <c r="C81" s="3" t="s">
        <v>60</v>
      </c>
      <c r="D81" s="3" t="s">
        <v>59</v>
      </c>
      <c r="E81" s="3">
        <v>6.5</v>
      </c>
      <c r="F81" s="3" t="s">
        <v>45</v>
      </c>
    </row>
    <row r="82" spans="1:7" x14ac:dyDescent="0.25">
      <c r="A82" s="3" t="s">
        <v>159</v>
      </c>
      <c r="B82" s="3" t="s">
        <v>9</v>
      </c>
      <c r="C82" s="3" t="s">
        <v>89</v>
      </c>
      <c r="D82" s="3" t="s">
        <v>90</v>
      </c>
      <c r="E82" s="3">
        <v>6.5</v>
      </c>
      <c r="F82" s="3" t="s">
        <v>45</v>
      </c>
    </row>
    <row r="83" spans="1:7" x14ac:dyDescent="0.25">
      <c r="A83" s="3" t="s">
        <v>159</v>
      </c>
      <c r="B83" s="3" t="s">
        <v>9</v>
      </c>
      <c r="C83" s="3">
        <v>710004</v>
      </c>
      <c r="D83" s="3" t="s">
        <v>91</v>
      </c>
      <c r="E83" s="3">
        <v>6.5</v>
      </c>
      <c r="F83" s="3" t="s">
        <v>45</v>
      </c>
    </row>
    <row r="84" spans="1:7" x14ac:dyDescent="0.25">
      <c r="A84" s="3" t="s">
        <v>159</v>
      </c>
      <c r="B84" s="3" t="s">
        <v>9</v>
      </c>
      <c r="C84" s="3">
        <v>720023</v>
      </c>
      <c r="D84" s="3" t="s">
        <v>92</v>
      </c>
      <c r="E84" s="3">
        <v>6.5</v>
      </c>
      <c r="F84" s="3" t="s">
        <v>45</v>
      </c>
    </row>
    <row r="85" spans="1:7" x14ac:dyDescent="0.25">
      <c r="A85" s="3" t="s">
        <v>159</v>
      </c>
      <c r="B85" s="3" t="s">
        <v>9</v>
      </c>
      <c r="C85" s="3">
        <v>720024</v>
      </c>
      <c r="D85" s="3" t="s">
        <v>93</v>
      </c>
      <c r="E85" s="3">
        <v>6.5</v>
      </c>
      <c r="F85" s="3" t="s">
        <v>45</v>
      </c>
    </row>
    <row r="86" spans="1:7" x14ac:dyDescent="0.25">
      <c r="A86" s="3" t="s">
        <v>159</v>
      </c>
      <c r="B86" s="3" t="s">
        <v>9</v>
      </c>
      <c r="C86" s="3">
        <v>720025</v>
      </c>
      <c r="D86" s="3" t="s">
        <v>94</v>
      </c>
      <c r="E86" s="3">
        <v>6.5</v>
      </c>
      <c r="F86" s="3" t="s">
        <v>45</v>
      </c>
    </row>
    <row r="87" spans="1:7" x14ac:dyDescent="0.25">
      <c r="A87" s="3" t="s">
        <v>159</v>
      </c>
      <c r="B87" s="3" t="s">
        <v>9</v>
      </c>
      <c r="C87" s="3">
        <v>730003</v>
      </c>
      <c r="D87" s="3" t="s">
        <v>95</v>
      </c>
      <c r="E87" s="3">
        <v>6.5</v>
      </c>
      <c r="F87" s="3" t="s">
        <v>45</v>
      </c>
    </row>
    <row r="88" spans="1:7" x14ac:dyDescent="0.25">
      <c r="A88" s="3" t="s">
        <v>159</v>
      </c>
      <c r="B88" s="3" t="s">
        <v>9</v>
      </c>
      <c r="C88" s="3">
        <v>7053</v>
      </c>
      <c r="D88" s="3" t="s">
        <v>153</v>
      </c>
      <c r="E88" s="3">
        <v>6.5</v>
      </c>
      <c r="F88" s="3" t="s">
        <v>45</v>
      </c>
      <c r="G88" s="3" t="s">
        <v>176</v>
      </c>
    </row>
    <row r="89" spans="1:7" x14ac:dyDescent="0.25">
      <c r="A89" s="3" t="s">
        <v>159</v>
      </c>
      <c r="B89" s="3" t="s">
        <v>9</v>
      </c>
      <c r="C89" s="3" t="s">
        <v>166</v>
      </c>
      <c r="D89" s="3" t="s">
        <v>167</v>
      </c>
      <c r="E89" s="3">
        <v>6.5</v>
      </c>
      <c r="F89" s="3" t="s">
        <v>45</v>
      </c>
      <c r="G89" s="3" t="s">
        <v>176</v>
      </c>
    </row>
    <row r="90" spans="1:7" x14ac:dyDescent="0.25">
      <c r="A90" s="3" t="s">
        <v>161</v>
      </c>
      <c r="B90" s="3" t="s">
        <v>13</v>
      </c>
      <c r="C90" s="3">
        <v>7071</v>
      </c>
      <c r="D90" s="3" t="s">
        <v>181</v>
      </c>
      <c r="E90" s="3">
        <v>50</v>
      </c>
      <c r="F90" s="3" t="s">
        <v>45</v>
      </c>
      <c r="G90" s="3" t="s">
        <v>176</v>
      </c>
    </row>
    <row r="91" spans="1:7" x14ac:dyDescent="0.25">
      <c r="A91" s="3" t="s">
        <v>159</v>
      </c>
      <c r="B91" s="3" t="s">
        <v>9</v>
      </c>
      <c r="C91" s="3" t="s">
        <v>182</v>
      </c>
      <c r="D91" s="3" t="s">
        <v>183</v>
      </c>
      <c r="E91" s="3">
        <v>6.5</v>
      </c>
      <c r="F91" s="3" t="s">
        <v>45</v>
      </c>
      <c r="G91" s="3" t="s">
        <v>176</v>
      </c>
    </row>
    <row r="92" spans="1:7" x14ac:dyDescent="0.25">
      <c r="A92" s="3" t="s">
        <v>161</v>
      </c>
      <c r="B92" s="3" t="s">
        <v>9</v>
      </c>
      <c r="C92" s="3">
        <v>7662</v>
      </c>
      <c r="D92" s="3" t="s">
        <v>184</v>
      </c>
      <c r="E92" s="3">
        <v>6.5</v>
      </c>
      <c r="F92" s="3" t="s">
        <v>45</v>
      </c>
      <c r="G92" s="3" t="s">
        <v>176</v>
      </c>
    </row>
  </sheetData>
  <autoFilter ref="A1:G90" xr:uid="{0D7CBC20-CF1D-4022-835A-A4B62E661A7F}"/>
  <conditionalFormatting sqref="A2:G1048576">
    <cfRule type="expression" dxfId="7" priority="5">
      <formula>$A2="Poteaux"</formula>
    </cfRule>
    <cfRule type="expression" dxfId="6" priority="6">
      <formula>$A2="Chevrons"</formula>
    </cfRule>
    <cfRule type="expression" dxfId="5" priority="7">
      <formula>$A2="Chéneau"</formula>
    </cfRule>
    <cfRule type="expression" dxfId="4" priority="8">
      <formula>$A2="Faitage"</formula>
    </cfRule>
  </conditionalFormatting>
  <dataValidations count="2">
    <dataValidation type="list" allowBlank="1" showInputMessage="1" showErrorMessage="1" sqref="B2:B1048576" xr:uid="{A0B2024D-4DC5-4ED0-83BE-9026C96EF496}">
      <formula1>"Profil,Joint,Accessoire"</formula1>
    </dataValidation>
    <dataValidation type="list" allowBlank="1" showInputMessage="1" showErrorMessage="1" sqref="A1:A1048576" xr:uid="{63F47824-0978-4F57-8104-322762E3EE38}">
      <formula1>"Chéneau,Chevrons,Faitage,Poteaux"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0D488-A8FD-4740-9240-5248BF1C98DF}">
  <sheetPr codeName="Feuil3">
    <tabColor theme="1"/>
  </sheetPr>
  <dimension ref="A1:I49"/>
  <sheetViews>
    <sheetView topLeftCell="A11" workbookViewId="0"/>
  </sheetViews>
  <sheetFormatPr baseColWidth="10" defaultRowHeight="15" x14ac:dyDescent="0.25"/>
  <cols>
    <col min="1" max="1" width="10.85546875" bestFit="1" customWidth="1"/>
    <col min="2" max="2" width="14.7109375" bestFit="1" customWidth="1"/>
    <col min="3" max="3" width="14.28515625" bestFit="1" customWidth="1"/>
    <col min="4" max="4" width="9.42578125" bestFit="1" customWidth="1"/>
    <col min="5" max="5" width="37.42578125" bestFit="1" customWidth="1"/>
    <col min="6" max="6" width="5.85546875" bestFit="1" customWidth="1"/>
    <col min="7" max="7" width="14.7109375" bestFit="1" customWidth="1"/>
    <col min="8" max="9" width="10.85546875" bestFit="1" customWidth="1"/>
  </cols>
  <sheetData>
    <row r="1" spans="1:9" ht="33" x14ac:dyDescent="0.25">
      <c r="A1" s="1" t="s">
        <v>0</v>
      </c>
      <c r="B1" s="1" t="s">
        <v>164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16.5" x14ac:dyDescent="0.25">
      <c r="A2" s="1">
        <v>1</v>
      </c>
      <c r="B2" s="2">
        <v>4366</v>
      </c>
      <c r="C2" s="1"/>
      <c r="D2" s="1"/>
      <c r="E2" s="1" t="s">
        <v>188</v>
      </c>
      <c r="F2" s="1">
        <v>1</v>
      </c>
      <c r="G2" s="1"/>
      <c r="H2" s="1"/>
      <c r="I2" s="1"/>
    </row>
    <row r="3" spans="1:9" ht="16.5" x14ac:dyDescent="0.25">
      <c r="A3" s="1">
        <v>2</v>
      </c>
      <c r="B3" s="2" t="s">
        <v>8</v>
      </c>
      <c r="C3" s="1" t="s">
        <v>189</v>
      </c>
      <c r="D3" s="1"/>
      <c r="E3" s="1" t="s">
        <v>190</v>
      </c>
      <c r="F3" s="1">
        <v>1</v>
      </c>
      <c r="G3" s="1">
        <v>3790</v>
      </c>
      <c r="H3" s="1"/>
      <c r="I3" s="1"/>
    </row>
    <row r="4" spans="1:9" ht="33" x14ac:dyDescent="0.25">
      <c r="A4" s="1">
        <v>3</v>
      </c>
      <c r="B4" s="2" t="s">
        <v>8</v>
      </c>
      <c r="C4" s="1" t="s">
        <v>9</v>
      </c>
      <c r="D4" s="1" t="s">
        <v>165</v>
      </c>
      <c r="E4" s="1" t="s">
        <v>49</v>
      </c>
      <c r="F4" s="1">
        <v>1</v>
      </c>
      <c r="G4" s="1">
        <v>3790</v>
      </c>
      <c r="H4" s="1" t="s">
        <v>11</v>
      </c>
      <c r="I4" s="1" t="s">
        <v>11</v>
      </c>
    </row>
    <row r="5" spans="1:9" ht="16.5" x14ac:dyDescent="0.25">
      <c r="A5" s="1">
        <v>4</v>
      </c>
      <c r="B5" s="2" t="s">
        <v>8</v>
      </c>
      <c r="C5" s="1" t="s">
        <v>9</v>
      </c>
      <c r="D5" s="1">
        <v>7639</v>
      </c>
      <c r="E5" s="1" t="s">
        <v>72</v>
      </c>
      <c r="F5" s="1">
        <v>1</v>
      </c>
      <c r="G5" s="1">
        <v>3790</v>
      </c>
      <c r="H5" s="1" t="s">
        <v>11</v>
      </c>
      <c r="I5" s="1" t="s">
        <v>11</v>
      </c>
    </row>
    <row r="6" spans="1:9" ht="16.5" x14ac:dyDescent="0.25">
      <c r="A6" s="1">
        <v>5</v>
      </c>
      <c r="B6" s="2" t="s">
        <v>8</v>
      </c>
      <c r="C6" s="1" t="s">
        <v>9</v>
      </c>
      <c r="D6" s="1">
        <v>7670</v>
      </c>
      <c r="E6" s="1" t="s">
        <v>10</v>
      </c>
      <c r="F6" s="1">
        <v>1</v>
      </c>
      <c r="G6" s="1">
        <v>3647.2</v>
      </c>
      <c r="H6" s="1" t="s">
        <v>11</v>
      </c>
      <c r="I6" s="1" t="s">
        <v>11</v>
      </c>
    </row>
    <row r="7" spans="1:9" ht="16.5" x14ac:dyDescent="0.25">
      <c r="A7" s="1">
        <v>6</v>
      </c>
      <c r="B7" s="2" t="s">
        <v>8</v>
      </c>
      <c r="C7" s="1" t="s">
        <v>9</v>
      </c>
      <c r="D7" s="1">
        <v>7689</v>
      </c>
      <c r="E7" s="1" t="s">
        <v>12</v>
      </c>
      <c r="F7" s="1">
        <v>1</v>
      </c>
      <c r="G7" s="1">
        <v>3647.2</v>
      </c>
      <c r="H7" s="1" t="s">
        <v>11</v>
      </c>
      <c r="I7" s="1" t="s">
        <v>11</v>
      </c>
    </row>
    <row r="8" spans="1:9" ht="16.5" x14ac:dyDescent="0.25">
      <c r="A8" s="1">
        <v>7</v>
      </c>
      <c r="B8" s="2" t="s">
        <v>8</v>
      </c>
      <c r="C8" s="1" t="s">
        <v>13</v>
      </c>
      <c r="D8" s="1">
        <v>7063</v>
      </c>
      <c r="E8" s="1" t="s">
        <v>57</v>
      </c>
      <c r="F8" s="1">
        <v>1</v>
      </c>
      <c r="G8" s="1">
        <v>3790</v>
      </c>
      <c r="H8" s="1" t="s">
        <v>11</v>
      </c>
      <c r="I8" s="1" t="s">
        <v>11</v>
      </c>
    </row>
    <row r="9" spans="1:9" ht="16.5" x14ac:dyDescent="0.25">
      <c r="A9" s="1">
        <v>8</v>
      </c>
      <c r="B9" s="2" t="s">
        <v>8</v>
      </c>
      <c r="C9" s="1" t="s">
        <v>9</v>
      </c>
      <c r="D9" s="1" t="s">
        <v>16</v>
      </c>
      <c r="E9" s="1" t="s">
        <v>17</v>
      </c>
      <c r="F9" s="1">
        <v>1</v>
      </c>
      <c r="G9" s="1">
        <v>3647.2</v>
      </c>
      <c r="H9" s="1" t="s">
        <v>11</v>
      </c>
      <c r="I9" s="1" t="s">
        <v>11</v>
      </c>
    </row>
    <row r="10" spans="1:9" ht="16.5" x14ac:dyDescent="0.25">
      <c r="A10" s="1">
        <v>9</v>
      </c>
      <c r="B10" s="2" t="s">
        <v>8</v>
      </c>
      <c r="C10" s="1" t="s">
        <v>9</v>
      </c>
      <c r="D10" s="1">
        <v>7624</v>
      </c>
      <c r="E10" s="1" t="s">
        <v>154</v>
      </c>
      <c r="F10" s="1">
        <v>4</v>
      </c>
      <c r="G10" s="1">
        <v>3570.26</v>
      </c>
      <c r="H10" s="1" t="s">
        <v>11</v>
      </c>
      <c r="I10" s="1" t="s">
        <v>11</v>
      </c>
    </row>
    <row r="11" spans="1:9" ht="16.5" x14ac:dyDescent="0.25">
      <c r="A11" s="1">
        <v>10</v>
      </c>
      <c r="B11" s="2" t="s">
        <v>8</v>
      </c>
      <c r="C11" s="1" t="s">
        <v>9</v>
      </c>
      <c r="D11" s="1" t="s">
        <v>66</v>
      </c>
      <c r="E11" s="1" t="s">
        <v>180</v>
      </c>
      <c r="F11" s="1">
        <v>1</v>
      </c>
      <c r="G11" s="1">
        <v>3790</v>
      </c>
      <c r="H11" s="1" t="s">
        <v>11</v>
      </c>
      <c r="I11" s="1" t="s">
        <v>11</v>
      </c>
    </row>
    <row r="12" spans="1:9" ht="16.5" x14ac:dyDescent="0.25">
      <c r="A12" s="1">
        <v>11</v>
      </c>
      <c r="B12" s="2" t="s">
        <v>8</v>
      </c>
      <c r="C12" s="1" t="s">
        <v>9</v>
      </c>
      <c r="D12" s="1">
        <v>7676</v>
      </c>
      <c r="E12" s="1" t="s">
        <v>20</v>
      </c>
      <c r="F12" s="1">
        <v>1</v>
      </c>
      <c r="G12" s="1">
        <v>3647.2</v>
      </c>
      <c r="H12" s="1" t="s">
        <v>11</v>
      </c>
      <c r="I12" s="1" t="s">
        <v>11</v>
      </c>
    </row>
    <row r="13" spans="1:9" ht="16.5" x14ac:dyDescent="0.25">
      <c r="A13" s="1">
        <v>12</v>
      </c>
      <c r="B13" s="2" t="s">
        <v>8</v>
      </c>
      <c r="C13" s="1" t="s">
        <v>9</v>
      </c>
      <c r="D13" s="1">
        <v>7646</v>
      </c>
      <c r="E13" s="1" t="s">
        <v>21</v>
      </c>
      <c r="F13" s="1">
        <v>1</v>
      </c>
      <c r="G13" s="1">
        <v>3647.2</v>
      </c>
      <c r="H13" s="1" t="s">
        <v>11</v>
      </c>
      <c r="I13" s="1" t="s">
        <v>11</v>
      </c>
    </row>
    <row r="14" spans="1:9" ht="16.5" x14ac:dyDescent="0.25">
      <c r="A14" s="1">
        <v>13</v>
      </c>
      <c r="B14" s="2" t="s">
        <v>8</v>
      </c>
      <c r="C14" s="1" t="s">
        <v>13</v>
      </c>
      <c r="D14" s="1">
        <v>7065</v>
      </c>
      <c r="E14" s="1" t="s">
        <v>22</v>
      </c>
      <c r="F14" s="1">
        <v>1</v>
      </c>
      <c r="G14" s="1">
        <v>3790</v>
      </c>
      <c r="H14" s="1" t="s">
        <v>11</v>
      </c>
      <c r="I14" s="1" t="s">
        <v>11</v>
      </c>
    </row>
    <row r="15" spans="1:9" ht="16.5" x14ac:dyDescent="0.25">
      <c r="A15" s="1">
        <v>14</v>
      </c>
      <c r="B15" s="2" t="s">
        <v>8</v>
      </c>
      <c r="C15" s="1" t="s">
        <v>9</v>
      </c>
      <c r="D15" s="1">
        <v>7605</v>
      </c>
      <c r="E15" s="1" t="s">
        <v>63</v>
      </c>
      <c r="F15" s="1">
        <v>1</v>
      </c>
      <c r="G15" s="1">
        <v>3790</v>
      </c>
      <c r="H15" s="1" t="s">
        <v>11</v>
      </c>
      <c r="I15" s="1" t="s">
        <v>11</v>
      </c>
    </row>
    <row r="16" spans="1:9" ht="16.5" x14ac:dyDescent="0.25">
      <c r="A16" s="1">
        <v>15</v>
      </c>
      <c r="B16" s="2" t="s">
        <v>8</v>
      </c>
      <c r="C16" s="1" t="s">
        <v>9</v>
      </c>
      <c r="D16" s="1">
        <v>7642</v>
      </c>
      <c r="E16" s="1" t="s">
        <v>73</v>
      </c>
      <c r="F16" s="1">
        <v>8</v>
      </c>
      <c r="G16" s="1">
        <v>3670.26</v>
      </c>
      <c r="H16" s="1" t="s">
        <v>11</v>
      </c>
      <c r="I16" s="1" t="s">
        <v>11</v>
      </c>
    </row>
    <row r="17" spans="1:9" ht="16.5" x14ac:dyDescent="0.25">
      <c r="A17" s="1">
        <v>16</v>
      </c>
      <c r="B17" s="2" t="s">
        <v>8</v>
      </c>
      <c r="C17" s="1" t="s">
        <v>9</v>
      </c>
      <c r="D17" s="1" t="s">
        <v>25</v>
      </c>
      <c r="E17" s="1" t="s">
        <v>26</v>
      </c>
      <c r="F17" s="1">
        <v>1</v>
      </c>
      <c r="G17" s="1">
        <v>3666.93</v>
      </c>
      <c r="H17" s="1" t="s">
        <v>191</v>
      </c>
      <c r="I17" s="1" t="s">
        <v>11</v>
      </c>
    </row>
    <row r="18" spans="1:9" ht="16.5" x14ac:dyDescent="0.25">
      <c r="A18" s="1">
        <v>17</v>
      </c>
      <c r="B18" s="2" t="s">
        <v>8</v>
      </c>
      <c r="C18" s="1" t="s">
        <v>13</v>
      </c>
      <c r="D18" s="1">
        <v>8602</v>
      </c>
      <c r="E18" s="1" t="s">
        <v>27</v>
      </c>
      <c r="F18" s="1">
        <v>2</v>
      </c>
      <c r="G18" s="1">
        <v>3708.09</v>
      </c>
      <c r="H18" s="1" t="s">
        <v>191</v>
      </c>
      <c r="I18" s="1" t="s">
        <v>11</v>
      </c>
    </row>
    <row r="19" spans="1:9" ht="16.5" x14ac:dyDescent="0.25">
      <c r="A19" s="1">
        <v>18</v>
      </c>
      <c r="B19" s="2" t="s">
        <v>8</v>
      </c>
      <c r="C19" s="1" t="s">
        <v>9</v>
      </c>
      <c r="D19" s="1">
        <v>7817</v>
      </c>
      <c r="E19" s="1" t="s">
        <v>28</v>
      </c>
      <c r="F19" s="1">
        <v>4</v>
      </c>
      <c r="G19" s="1">
        <v>3670.26</v>
      </c>
      <c r="H19" s="1" t="s">
        <v>11</v>
      </c>
      <c r="I19" s="1" t="s">
        <v>11</v>
      </c>
    </row>
    <row r="20" spans="1:9" ht="16.5" x14ac:dyDescent="0.25">
      <c r="A20" s="1">
        <v>19</v>
      </c>
      <c r="B20" s="2" t="s">
        <v>8</v>
      </c>
      <c r="C20" s="1" t="s">
        <v>9</v>
      </c>
      <c r="D20" s="1">
        <v>7818</v>
      </c>
      <c r="E20" s="1" t="s">
        <v>30</v>
      </c>
      <c r="F20" s="1">
        <v>1</v>
      </c>
      <c r="G20" s="1">
        <v>3719.31</v>
      </c>
      <c r="H20" s="1" t="s">
        <v>191</v>
      </c>
      <c r="I20" s="1" t="s">
        <v>11</v>
      </c>
    </row>
    <row r="21" spans="1:9" ht="16.5" x14ac:dyDescent="0.25">
      <c r="A21" s="1">
        <v>20</v>
      </c>
      <c r="B21" s="2" t="s">
        <v>8</v>
      </c>
      <c r="C21" s="1" t="s">
        <v>9</v>
      </c>
      <c r="D21" s="1" t="s">
        <v>31</v>
      </c>
      <c r="E21" s="1" t="s">
        <v>32</v>
      </c>
      <c r="F21" s="1">
        <v>1</v>
      </c>
      <c r="G21" s="1">
        <v>2200</v>
      </c>
      <c r="H21" s="1" t="s">
        <v>11</v>
      </c>
      <c r="I21" s="1" t="s">
        <v>11</v>
      </c>
    </row>
    <row r="22" spans="1:9" ht="16.5" x14ac:dyDescent="0.25">
      <c r="A22" s="1">
        <v>21</v>
      </c>
      <c r="B22" s="2" t="s">
        <v>8</v>
      </c>
      <c r="C22" s="1" t="s">
        <v>9</v>
      </c>
      <c r="D22" s="1">
        <v>7053</v>
      </c>
      <c r="E22" s="1" t="s">
        <v>33</v>
      </c>
      <c r="F22" s="1">
        <v>1</v>
      </c>
      <c r="G22" s="1">
        <v>2200</v>
      </c>
      <c r="H22" s="1" t="s">
        <v>11</v>
      </c>
      <c r="I22" s="1" t="s">
        <v>11</v>
      </c>
    </row>
    <row r="23" spans="1:9" ht="16.5" x14ac:dyDescent="0.25">
      <c r="A23" s="1">
        <v>22</v>
      </c>
      <c r="B23" s="2" t="s">
        <v>8</v>
      </c>
      <c r="C23" s="1" t="s">
        <v>13</v>
      </c>
      <c r="D23" s="1">
        <v>7072</v>
      </c>
      <c r="E23" s="1" t="s">
        <v>14</v>
      </c>
      <c r="F23" s="1">
        <v>5</v>
      </c>
      <c r="G23" s="1">
        <v>677.44</v>
      </c>
      <c r="H23" s="1" t="s">
        <v>11</v>
      </c>
      <c r="I23" s="1" t="s">
        <v>11</v>
      </c>
    </row>
    <row r="24" spans="1:9" ht="16.5" x14ac:dyDescent="0.25">
      <c r="A24" s="1">
        <v>23</v>
      </c>
      <c r="B24" s="2" t="s">
        <v>8</v>
      </c>
      <c r="C24" s="1" t="s">
        <v>9</v>
      </c>
      <c r="D24" s="1">
        <v>7675</v>
      </c>
      <c r="E24" s="1" t="s">
        <v>15</v>
      </c>
      <c r="F24" s="1">
        <v>5</v>
      </c>
      <c r="G24" s="1">
        <v>677.44</v>
      </c>
      <c r="H24" s="1" t="s">
        <v>11</v>
      </c>
      <c r="I24" s="1" t="s">
        <v>11</v>
      </c>
    </row>
    <row r="25" spans="1:9" ht="16.5" x14ac:dyDescent="0.25">
      <c r="A25" s="1">
        <v>24</v>
      </c>
      <c r="B25" s="2" t="s">
        <v>8</v>
      </c>
      <c r="C25" s="1" t="s">
        <v>13</v>
      </c>
      <c r="D25" s="1">
        <v>7062</v>
      </c>
      <c r="E25" s="1" t="s">
        <v>29</v>
      </c>
      <c r="F25" s="1">
        <v>2</v>
      </c>
      <c r="G25" s="1">
        <v>3716.87</v>
      </c>
      <c r="H25" s="1" t="s">
        <v>11</v>
      </c>
      <c r="I25" s="1" t="s">
        <v>191</v>
      </c>
    </row>
    <row r="26" spans="1:9" ht="16.5" x14ac:dyDescent="0.25">
      <c r="A26" s="1">
        <v>25</v>
      </c>
      <c r="B26" s="2" t="s">
        <v>8</v>
      </c>
      <c r="C26" s="1" t="s">
        <v>9</v>
      </c>
      <c r="D26" s="1" t="s">
        <v>80</v>
      </c>
      <c r="E26" s="1" t="s">
        <v>81</v>
      </c>
      <c r="F26" s="1">
        <v>4</v>
      </c>
      <c r="G26" s="1">
        <v>717.44</v>
      </c>
      <c r="H26" s="1" t="s">
        <v>156</v>
      </c>
      <c r="I26" s="1" t="s">
        <v>156</v>
      </c>
    </row>
    <row r="27" spans="1:9" ht="16.5" x14ac:dyDescent="0.25">
      <c r="A27" s="1">
        <v>26</v>
      </c>
      <c r="B27" s="2" t="s">
        <v>8</v>
      </c>
      <c r="C27" s="1" t="s">
        <v>9</v>
      </c>
      <c r="D27" s="1" t="s">
        <v>166</v>
      </c>
      <c r="E27" s="1" t="s">
        <v>167</v>
      </c>
      <c r="F27" s="1">
        <v>1</v>
      </c>
      <c r="G27" s="1">
        <v>2220</v>
      </c>
      <c r="H27" s="1" t="s">
        <v>11</v>
      </c>
      <c r="I27" s="1" t="s">
        <v>11</v>
      </c>
    </row>
    <row r="28" spans="1:9" ht="16.5" x14ac:dyDescent="0.25">
      <c r="A28" s="1">
        <v>27</v>
      </c>
      <c r="B28" s="2" t="s">
        <v>8</v>
      </c>
      <c r="C28" s="1" t="s">
        <v>13</v>
      </c>
      <c r="D28" s="1">
        <v>8602</v>
      </c>
      <c r="E28" s="1" t="s">
        <v>27</v>
      </c>
      <c r="F28" s="1">
        <v>8</v>
      </c>
      <c r="G28" s="1">
        <v>3670.26</v>
      </c>
      <c r="H28" s="1" t="s">
        <v>11</v>
      </c>
      <c r="I28" s="1" t="s">
        <v>11</v>
      </c>
    </row>
    <row r="29" spans="1:9" ht="16.5" x14ac:dyDescent="0.25">
      <c r="A29" s="1">
        <v>28</v>
      </c>
      <c r="B29" s="2" t="s">
        <v>8</v>
      </c>
      <c r="C29" s="1" t="s">
        <v>9</v>
      </c>
      <c r="D29" s="1">
        <v>7642</v>
      </c>
      <c r="E29" s="1" t="s">
        <v>73</v>
      </c>
      <c r="F29" s="1">
        <v>2</v>
      </c>
      <c r="G29" s="1">
        <v>3715.59</v>
      </c>
      <c r="H29" s="1" t="s">
        <v>11</v>
      </c>
      <c r="I29" s="1" t="s">
        <v>191</v>
      </c>
    </row>
    <row r="30" spans="1:9" ht="16.5" x14ac:dyDescent="0.25">
      <c r="A30" s="1">
        <v>29</v>
      </c>
      <c r="B30" s="2" t="s">
        <v>8</v>
      </c>
      <c r="C30" s="1" t="s">
        <v>9</v>
      </c>
      <c r="D30" s="1">
        <v>7818</v>
      </c>
      <c r="E30" s="1" t="s">
        <v>30</v>
      </c>
      <c r="F30" s="1">
        <v>1</v>
      </c>
      <c r="G30" s="1">
        <v>3719.31</v>
      </c>
      <c r="H30" s="1" t="s">
        <v>191</v>
      </c>
      <c r="I30" s="1" t="s">
        <v>11</v>
      </c>
    </row>
    <row r="31" spans="1:9" ht="16.5" x14ac:dyDescent="0.25">
      <c r="A31" s="1">
        <v>30</v>
      </c>
      <c r="B31" s="2" t="s">
        <v>8</v>
      </c>
      <c r="C31" s="1" t="s">
        <v>9</v>
      </c>
      <c r="D31" s="1" t="s">
        <v>25</v>
      </c>
      <c r="E31" s="1" t="s">
        <v>26</v>
      </c>
      <c r="F31" s="1">
        <v>1</v>
      </c>
      <c r="G31" s="1">
        <v>3666.93</v>
      </c>
      <c r="H31" s="1" t="s">
        <v>191</v>
      </c>
      <c r="I31" s="1" t="s">
        <v>11</v>
      </c>
    </row>
    <row r="32" spans="1:9" ht="16.5" x14ac:dyDescent="0.25">
      <c r="A32" s="1">
        <v>31</v>
      </c>
      <c r="B32" s="2" t="s">
        <v>8</v>
      </c>
      <c r="C32" s="1" t="s">
        <v>9</v>
      </c>
      <c r="D32" s="1">
        <v>7642</v>
      </c>
      <c r="E32" s="1" t="s">
        <v>73</v>
      </c>
      <c r="F32" s="1">
        <v>4</v>
      </c>
      <c r="G32" s="1">
        <v>3670.26</v>
      </c>
      <c r="H32" s="1" t="s">
        <v>11</v>
      </c>
      <c r="I32" s="1" t="s">
        <v>11</v>
      </c>
    </row>
    <row r="33" spans="1:9" ht="16.5" x14ac:dyDescent="0.25">
      <c r="A33" s="1">
        <v>32</v>
      </c>
      <c r="B33" s="2" t="s">
        <v>8</v>
      </c>
      <c r="C33" s="1" t="s">
        <v>9</v>
      </c>
      <c r="D33" s="1">
        <v>7053</v>
      </c>
      <c r="E33" s="1" t="s">
        <v>33</v>
      </c>
      <c r="F33" s="1">
        <v>1</v>
      </c>
      <c r="G33" s="1">
        <v>2220</v>
      </c>
      <c r="H33" s="1" t="s">
        <v>11</v>
      </c>
      <c r="I33" s="1" t="s">
        <v>11</v>
      </c>
    </row>
    <row r="34" spans="1:9" ht="16.5" x14ac:dyDescent="0.25">
      <c r="A34" s="1">
        <v>33</v>
      </c>
      <c r="B34" s="2" t="s">
        <v>8</v>
      </c>
      <c r="C34" s="1" t="s">
        <v>9</v>
      </c>
      <c r="D34" s="1" t="s">
        <v>31</v>
      </c>
      <c r="E34" s="1" t="s">
        <v>32</v>
      </c>
      <c r="F34" s="1">
        <v>1</v>
      </c>
      <c r="G34" s="1">
        <v>2220</v>
      </c>
      <c r="H34" s="1" t="s">
        <v>11</v>
      </c>
      <c r="I34" s="1" t="s">
        <v>11</v>
      </c>
    </row>
    <row r="35" spans="1:9" ht="16.5" x14ac:dyDescent="0.25">
      <c r="A35" s="1">
        <v>34</v>
      </c>
      <c r="B35" s="2">
        <v>4369</v>
      </c>
      <c r="C35" s="1"/>
      <c r="D35" s="1"/>
      <c r="E35" s="1" t="s">
        <v>192</v>
      </c>
      <c r="F35" s="1">
        <v>1</v>
      </c>
      <c r="G35" s="1"/>
      <c r="H35" s="1"/>
      <c r="I35" s="1"/>
    </row>
    <row r="36" spans="1:9" ht="49.5" x14ac:dyDescent="0.25">
      <c r="A36" s="1">
        <v>35</v>
      </c>
      <c r="B36" s="2" t="s">
        <v>8</v>
      </c>
      <c r="C36" s="1" t="s">
        <v>193</v>
      </c>
      <c r="D36" s="1"/>
      <c r="E36" s="1" t="s">
        <v>194</v>
      </c>
      <c r="F36" s="1">
        <v>4</v>
      </c>
      <c r="G36" s="1"/>
      <c r="H36" s="1"/>
      <c r="I36" s="1"/>
    </row>
    <row r="37" spans="1:9" ht="16.5" x14ac:dyDescent="0.25">
      <c r="A37" s="1">
        <v>36</v>
      </c>
      <c r="B37" s="2" t="s">
        <v>8</v>
      </c>
      <c r="C37" s="1"/>
      <c r="D37" s="1"/>
      <c r="E37" s="1"/>
      <c r="F37" s="1">
        <v>4</v>
      </c>
      <c r="G37" s="1"/>
      <c r="H37" s="1"/>
      <c r="I37" s="1"/>
    </row>
    <row r="38" spans="1:9" ht="16.5" x14ac:dyDescent="0.25">
      <c r="A38" s="1">
        <v>37</v>
      </c>
      <c r="B38" s="2" t="s">
        <v>8</v>
      </c>
      <c r="C38" s="1"/>
      <c r="D38" s="1"/>
      <c r="E38" s="1"/>
      <c r="F38" s="1">
        <v>1</v>
      </c>
      <c r="G38" s="1"/>
      <c r="H38" s="1"/>
      <c r="I38" s="1"/>
    </row>
    <row r="39" spans="1:9" ht="66" x14ac:dyDescent="0.25">
      <c r="A39" s="1">
        <v>38</v>
      </c>
      <c r="B39" s="2" t="s">
        <v>195</v>
      </c>
      <c r="C39" s="1"/>
      <c r="D39" s="1"/>
      <c r="E39" s="1" t="s">
        <v>196</v>
      </c>
      <c r="F39" s="1">
        <v>1</v>
      </c>
      <c r="G39" s="1"/>
      <c r="H39" s="1"/>
      <c r="I39" s="1"/>
    </row>
    <row r="40" spans="1:9" ht="16.5" x14ac:dyDescent="0.25">
      <c r="A40" s="1">
        <v>39</v>
      </c>
      <c r="B40" s="2" t="s">
        <v>8</v>
      </c>
      <c r="C40" s="1" t="s">
        <v>9</v>
      </c>
      <c r="D40" s="1">
        <v>410001</v>
      </c>
      <c r="E40" s="1" t="s">
        <v>197</v>
      </c>
      <c r="F40" s="1">
        <v>1</v>
      </c>
      <c r="G40" s="1">
        <v>3491.5</v>
      </c>
      <c r="H40" s="1">
        <v>45</v>
      </c>
      <c r="I40" s="1">
        <v>45</v>
      </c>
    </row>
    <row r="41" spans="1:9" ht="16.5" x14ac:dyDescent="0.25">
      <c r="A41" s="1">
        <v>40</v>
      </c>
      <c r="B41" s="2" t="s">
        <v>8</v>
      </c>
      <c r="C41" s="1" t="s">
        <v>9</v>
      </c>
      <c r="D41" s="1">
        <v>410031</v>
      </c>
      <c r="E41" s="1" t="s">
        <v>198</v>
      </c>
      <c r="F41" s="1">
        <v>2</v>
      </c>
      <c r="G41" s="1">
        <v>524.45000000000005</v>
      </c>
      <c r="H41" s="1" t="s">
        <v>156</v>
      </c>
      <c r="I41" s="1" t="s">
        <v>156</v>
      </c>
    </row>
    <row r="42" spans="1:9" ht="16.5" x14ac:dyDescent="0.25">
      <c r="A42" s="1">
        <v>41</v>
      </c>
      <c r="B42" s="2" t="s">
        <v>8</v>
      </c>
      <c r="C42" s="1"/>
      <c r="D42" s="1"/>
      <c r="E42" s="1"/>
      <c r="F42" s="1">
        <v>1</v>
      </c>
      <c r="G42" s="1"/>
      <c r="H42" s="1"/>
      <c r="I42" s="1"/>
    </row>
    <row r="43" spans="1:9" ht="16.5" x14ac:dyDescent="0.25">
      <c r="A43" s="1">
        <v>42</v>
      </c>
      <c r="B43" s="2" t="s">
        <v>8</v>
      </c>
      <c r="C43" s="1" t="s">
        <v>9</v>
      </c>
      <c r="D43" s="1">
        <v>410001</v>
      </c>
      <c r="E43" s="1" t="s">
        <v>197</v>
      </c>
      <c r="F43" s="1">
        <v>1</v>
      </c>
      <c r="G43" s="1">
        <v>1014.56</v>
      </c>
      <c r="H43" s="1">
        <v>52.02</v>
      </c>
      <c r="I43" s="1">
        <v>45</v>
      </c>
    </row>
    <row r="44" spans="1:9" ht="16.5" x14ac:dyDescent="0.25">
      <c r="A44" s="1">
        <v>43</v>
      </c>
      <c r="B44" s="2" t="s">
        <v>8</v>
      </c>
      <c r="C44" s="1" t="s">
        <v>9</v>
      </c>
      <c r="D44" s="1">
        <v>410001</v>
      </c>
      <c r="E44" s="1" t="s">
        <v>197</v>
      </c>
      <c r="F44" s="1">
        <v>1</v>
      </c>
      <c r="G44" s="1">
        <v>3599.08</v>
      </c>
      <c r="H44" s="1">
        <v>37.979999999999997</v>
      </c>
      <c r="I44" s="1">
        <v>52.02</v>
      </c>
    </row>
    <row r="45" spans="1:9" ht="16.5" x14ac:dyDescent="0.25">
      <c r="A45" s="1">
        <v>44</v>
      </c>
      <c r="B45" s="2" t="s">
        <v>8</v>
      </c>
      <c r="C45" s="1" t="s">
        <v>9</v>
      </c>
      <c r="D45" s="1">
        <v>410001</v>
      </c>
      <c r="E45" s="1" t="s">
        <v>197</v>
      </c>
      <c r="F45" s="1">
        <v>1</v>
      </c>
      <c r="G45" s="1">
        <v>141.18</v>
      </c>
      <c r="H45" s="1">
        <v>45</v>
      </c>
      <c r="I45" s="1">
        <v>37.979999999999997</v>
      </c>
    </row>
    <row r="46" spans="1:9" ht="16.5" x14ac:dyDescent="0.25">
      <c r="A46" s="1">
        <v>45</v>
      </c>
      <c r="B46" s="2" t="s">
        <v>155</v>
      </c>
      <c r="C46" s="1" t="s">
        <v>39</v>
      </c>
      <c r="D46" s="1">
        <v>7702</v>
      </c>
      <c r="E46" s="1" t="s">
        <v>41</v>
      </c>
      <c r="F46" s="1">
        <v>6</v>
      </c>
      <c r="G46" s="1"/>
      <c r="H46" s="1"/>
      <c r="I46" s="1"/>
    </row>
    <row r="47" spans="1:9" ht="16.5" x14ac:dyDescent="0.25">
      <c r="A47" s="1">
        <v>46</v>
      </c>
      <c r="B47" s="2">
        <v>7721</v>
      </c>
      <c r="C47" s="1" t="s">
        <v>39</v>
      </c>
      <c r="D47" s="1">
        <v>7721</v>
      </c>
      <c r="E47" s="1" t="s">
        <v>98</v>
      </c>
      <c r="F47" s="1">
        <v>13</v>
      </c>
      <c r="G47" s="1"/>
      <c r="H47" s="1"/>
      <c r="I47" s="1"/>
    </row>
    <row r="48" spans="1:9" ht="33" x14ac:dyDescent="0.25">
      <c r="A48" s="1">
        <v>47</v>
      </c>
      <c r="B48" s="2">
        <v>7775</v>
      </c>
      <c r="C48" s="1" t="s">
        <v>39</v>
      </c>
      <c r="D48" s="1">
        <v>7775</v>
      </c>
      <c r="E48" s="1" t="s">
        <v>97</v>
      </c>
      <c r="F48" s="1">
        <v>2</v>
      </c>
      <c r="G48" s="1"/>
      <c r="H48" s="1"/>
      <c r="I48" s="1"/>
    </row>
    <row r="49" spans="1:9" ht="16.5" x14ac:dyDescent="0.25">
      <c r="A49" s="1">
        <v>48</v>
      </c>
      <c r="B49" s="2">
        <v>7075</v>
      </c>
      <c r="C49" s="1" t="s">
        <v>39</v>
      </c>
      <c r="D49" s="1">
        <v>7075</v>
      </c>
      <c r="E49" s="1" t="s">
        <v>185</v>
      </c>
      <c r="F49" s="1">
        <v>1</v>
      </c>
      <c r="G49" s="1"/>
      <c r="H49" s="1"/>
      <c r="I4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122C-DA2A-41EB-BC9B-23661ED8659E}">
  <sheetPr codeName="Feuil5">
    <tabColor theme="1"/>
  </sheetPr>
  <dimension ref="A1:D12"/>
  <sheetViews>
    <sheetView workbookViewId="0">
      <selection activeCell="B3" sqref="B3"/>
    </sheetView>
  </sheetViews>
  <sheetFormatPr baseColWidth="10" defaultColWidth="34.7109375" defaultRowHeight="15" x14ac:dyDescent="0.25"/>
  <cols>
    <col min="1" max="1" width="15.85546875" style="3" customWidth="1"/>
    <col min="2" max="2" width="40.28515625" style="4" customWidth="1"/>
    <col min="3" max="3" width="15.85546875" style="3" customWidth="1"/>
    <col min="4" max="4" width="40.28515625" style="4" customWidth="1"/>
    <col min="5" max="16384" width="34.7109375" style="3"/>
  </cols>
  <sheetData>
    <row r="1" spans="1:4" s="5" customFormat="1" ht="39" customHeight="1" x14ac:dyDescent="0.25">
      <c r="A1" s="22" t="s">
        <v>119</v>
      </c>
      <c r="B1" s="22"/>
      <c r="C1" s="22" t="s">
        <v>120</v>
      </c>
      <c r="D1" s="22"/>
    </row>
    <row r="2" spans="1:4" x14ac:dyDescent="0.25">
      <c r="A2" s="3">
        <v>7701</v>
      </c>
      <c r="B2" s="4" t="s">
        <v>40</v>
      </c>
      <c r="C2" s="3">
        <v>7110</v>
      </c>
      <c r="D2" s="4" t="s">
        <v>113</v>
      </c>
    </row>
    <row r="3" spans="1:4" x14ac:dyDescent="0.25">
      <c r="A3" s="3">
        <v>7702</v>
      </c>
      <c r="B3" s="4" t="s">
        <v>41</v>
      </c>
      <c r="C3" s="3">
        <v>7113</v>
      </c>
      <c r="D3" s="4" t="s">
        <v>114</v>
      </c>
    </row>
    <row r="4" spans="1:4" x14ac:dyDescent="0.25">
      <c r="A4" s="3">
        <v>7775</v>
      </c>
      <c r="B4" s="4" t="s">
        <v>97</v>
      </c>
      <c r="C4" s="3">
        <v>7041</v>
      </c>
      <c r="D4" s="4" t="s">
        <v>115</v>
      </c>
    </row>
    <row r="5" spans="1:4" x14ac:dyDescent="0.25">
      <c r="A5" s="3">
        <v>7721</v>
      </c>
      <c r="B5" s="4" t="s">
        <v>98</v>
      </c>
      <c r="C5" s="3">
        <v>7140</v>
      </c>
      <c r="D5" s="4" t="s">
        <v>116</v>
      </c>
    </row>
    <row r="6" spans="1:4" x14ac:dyDescent="0.25">
      <c r="A6" s="3">
        <v>7075</v>
      </c>
      <c r="B6" s="4" t="s">
        <v>99</v>
      </c>
      <c r="C6" s="3">
        <v>7715</v>
      </c>
      <c r="D6" s="4" t="s">
        <v>117</v>
      </c>
    </row>
    <row r="7" spans="1:4" x14ac:dyDescent="0.25">
      <c r="A7" s="3">
        <v>7772</v>
      </c>
      <c r="B7" s="4" t="s">
        <v>100</v>
      </c>
      <c r="C7" s="3">
        <v>7704</v>
      </c>
      <c r="D7" s="4" t="s">
        <v>118</v>
      </c>
    </row>
    <row r="8" spans="1:4" x14ac:dyDescent="0.25">
      <c r="A8" s="3">
        <v>7728</v>
      </c>
      <c r="B8" s="4" t="s">
        <v>101</v>
      </c>
      <c r="C8" s="3">
        <v>7721</v>
      </c>
      <c r="D8" s="4" t="s">
        <v>98</v>
      </c>
    </row>
    <row r="9" spans="1:4" x14ac:dyDescent="0.25">
      <c r="A9" s="3">
        <v>7713</v>
      </c>
      <c r="B9" s="4" t="s">
        <v>102</v>
      </c>
      <c r="C9" s="3">
        <v>7075</v>
      </c>
      <c r="D9" s="4" t="s">
        <v>99</v>
      </c>
    </row>
    <row r="10" spans="1:4" x14ac:dyDescent="0.25">
      <c r="C10" s="3">
        <v>7701</v>
      </c>
      <c r="D10" s="4" t="s">
        <v>40</v>
      </c>
    </row>
    <row r="11" spans="1:4" x14ac:dyDescent="0.25">
      <c r="C11" s="3">
        <v>7702</v>
      </c>
      <c r="D11" s="4" t="s">
        <v>41</v>
      </c>
    </row>
    <row r="12" spans="1:4" x14ac:dyDescent="0.25">
      <c r="C12" s="3">
        <v>7772</v>
      </c>
      <c r="D12" s="4" t="s">
        <v>100</v>
      </c>
    </row>
  </sheetData>
  <mergeCells count="2">
    <mergeCell ref="A1:B1"/>
    <mergeCell ref="C1:D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018A-44D1-427A-8678-D6EEC0D41D4B}">
  <sheetPr codeName="Feuil6">
    <tabColor theme="1"/>
  </sheetPr>
  <dimension ref="A1:F14"/>
  <sheetViews>
    <sheetView view="pageLayout" zoomScale="106" zoomScaleNormal="100" zoomScalePageLayoutView="106" workbookViewId="0">
      <selection activeCell="D12" sqref="D12"/>
    </sheetView>
  </sheetViews>
  <sheetFormatPr baseColWidth="10" defaultRowHeight="15" x14ac:dyDescent="0.25"/>
  <cols>
    <col min="2" max="2" width="10" customWidth="1"/>
    <col min="3" max="3" width="16.5703125" customWidth="1"/>
    <col min="4" max="4" width="34.42578125" customWidth="1"/>
    <col min="5" max="5" width="11.5703125" bestFit="1" customWidth="1"/>
    <col min="6" max="6" width="13.7109375" customWidth="1"/>
  </cols>
  <sheetData>
    <row r="1" spans="1:6" ht="21" x14ac:dyDescent="0.35">
      <c r="A1" s="12" t="s">
        <v>137</v>
      </c>
      <c r="B1" s="13"/>
      <c r="C1" s="13"/>
      <c r="D1" s="13"/>
      <c r="E1" s="13"/>
      <c r="F1" s="13"/>
    </row>
    <row r="3" spans="1:6" x14ac:dyDescent="0.25">
      <c r="A3" s="8" t="s">
        <v>138</v>
      </c>
      <c r="B3" s="16" t="s">
        <v>157</v>
      </c>
      <c r="C3" s="16"/>
    </row>
    <row r="4" spans="1:6" x14ac:dyDescent="0.25">
      <c r="A4" s="8" t="s">
        <v>139</v>
      </c>
      <c r="B4" s="16" t="s">
        <v>142</v>
      </c>
      <c r="C4" s="16"/>
    </row>
    <row r="5" spans="1:6" x14ac:dyDescent="0.25">
      <c r="A5" s="8" t="s">
        <v>136</v>
      </c>
      <c r="B5" s="16" t="s">
        <v>130</v>
      </c>
      <c r="C5" s="16"/>
    </row>
    <row r="6" spans="1:6" x14ac:dyDescent="0.25">
      <c r="A6" s="8" t="s">
        <v>134</v>
      </c>
      <c r="B6" s="16" t="s">
        <v>135</v>
      </c>
      <c r="C6" s="16"/>
    </row>
    <row r="7" spans="1:6" x14ac:dyDescent="0.25">
      <c r="A7" s="8" t="s">
        <v>132</v>
      </c>
      <c r="B7" s="16" t="s">
        <v>133</v>
      </c>
      <c r="C7" s="16"/>
    </row>
    <row r="8" spans="1:6" x14ac:dyDescent="0.25">
      <c r="A8" s="8" t="s">
        <v>131</v>
      </c>
      <c r="B8" s="16" t="str">
        <f>VLOOKUP($B$4,Collaborateurs!$A:$B,2,0)</f>
        <v>ziad.zakarya@ata-habitat.com</v>
      </c>
      <c r="C8" s="16"/>
    </row>
    <row r="9" spans="1:6" x14ac:dyDescent="0.25">
      <c r="E9" s="20" t="s">
        <v>140</v>
      </c>
      <c r="F9" s="6" t="str">
        <f>IF(SuperBar!$B$3="","",SuperBar!$B$3)</f>
        <v>MONTREVEL</v>
      </c>
    </row>
    <row r="10" spans="1:6" ht="30" customHeight="1" x14ac:dyDescent="0.25">
      <c r="E10" s="20" t="s">
        <v>150</v>
      </c>
      <c r="F10" s="5" t="str">
        <f>IF(SuperBar!$B$5="","",SuperBar!$B$5)</f>
        <v>Bleu RAL 8023 MG</v>
      </c>
    </row>
    <row r="11" spans="1:6" ht="30" customHeight="1" x14ac:dyDescent="0.25">
      <c r="E11" s="20" t="s">
        <v>151</v>
      </c>
      <c r="F11" s="5" t="str">
        <f>IF(SuperBar!$B$6="","",SuperBar!$B$6)</f>
        <v>Bleu RAL 8023 MG</v>
      </c>
    </row>
    <row r="13" spans="1:6" x14ac:dyDescent="0.25">
      <c r="A13" s="14" t="s">
        <v>158</v>
      </c>
      <c r="B13" s="14" t="s">
        <v>125</v>
      </c>
      <c r="C13" s="14" t="s">
        <v>42</v>
      </c>
      <c r="D13" s="14" t="s">
        <v>128</v>
      </c>
      <c r="E13" s="14" t="s">
        <v>163</v>
      </c>
      <c r="F13" s="14" t="s">
        <v>129</v>
      </c>
    </row>
    <row r="14" spans="1:6" ht="26.25" x14ac:dyDescent="0.4">
      <c r="A14" s="19"/>
      <c r="B14" s="9"/>
      <c r="C14" s="9"/>
      <c r="D14" s="9"/>
      <c r="E14" s="9"/>
      <c r="F14" s="9"/>
    </row>
  </sheetData>
  <conditionalFormatting sqref="A14">
    <cfRule type="expression" dxfId="3" priority="1">
      <formula>$A14="Poteaux"</formula>
    </cfRule>
    <cfRule type="expression" dxfId="2" priority="2">
      <formula>$A14="Chevrons"</formula>
    </cfRule>
    <cfRule type="expression" dxfId="1" priority="3">
      <formula>$A14="Chéneau"</formula>
    </cfRule>
    <cfRule type="expression" dxfId="0" priority="4">
      <formula>$A14="Faitage"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&amp;L&amp;D
&amp;T&amp;RPage &amp;P/&amp;N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DC0B62-B1C6-4EF1-AA19-9D3792D124C8}">
          <x14:formula1>
            <xm:f>Collaborateurs!$A$1:$A$4</xm:f>
          </x14:formula1>
          <xm:sqref>B4:C4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72F4-9C89-4797-890E-915995130E28}">
  <sheetPr codeName="Feuil2">
    <tabColor theme="1"/>
  </sheetPr>
  <dimension ref="A1:A10"/>
  <sheetViews>
    <sheetView workbookViewId="0">
      <selection activeCell="A11" sqref="A11"/>
    </sheetView>
  </sheetViews>
  <sheetFormatPr baseColWidth="10" defaultRowHeight="15" x14ac:dyDescent="0.25"/>
  <cols>
    <col min="1" max="1" width="27.140625" customWidth="1"/>
  </cols>
  <sheetData>
    <row r="1" spans="1:1" x14ac:dyDescent="0.25">
      <c r="A1" t="s">
        <v>175</v>
      </c>
    </row>
    <row r="2" spans="1:1" x14ac:dyDescent="0.25">
      <c r="A2" t="s">
        <v>174</v>
      </c>
    </row>
    <row r="3" spans="1:1" x14ac:dyDescent="0.25">
      <c r="A3" t="s">
        <v>172</v>
      </c>
    </row>
    <row r="4" spans="1:1" x14ac:dyDescent="0.25">
      <c r="A4" t="s">
        <v>173</v>
      </c>
    </row>
    <row r="5" spans="1:1" x14ac:dyDescent="0.25">
      <c r="A5" t="s">
        <v>168</v>
      </c>
    </row>
    <row r="6" spans="1:1" x14ac:dyDescent="0.25">
      <c r="A6" t="s">
        <v>169</v>
      </c>
    </row>
    <row r="7" spans="1:1" x14ac:dyDescent="0.25">
      <c r="A7" s="18" t="s">
        <v>170</v>
      </c>
    </row>
    <row r="8" spans="1:1" x14ac:dyDescent="0.25">
      <c r="A8" t="s">
        <v>171</v>
      </c>
    </row>
    <row r="9" spans="1:1" x14ac:dyDescent="0.25">
      <c r="A9" t="s">
        <v>177</v>
      </c>
    </row>
    <row r="10" spans="1:1" x14ac:dyDescent="0.25">
      <c r="A10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E846-B7AD-4AA3-AE74-ADCA2283EC2B}">
  <sheetPr codeName="Feuil7">
    <tabColor theme="1"/>
  </sheetPr>
  <dimension ref="A1:B5"/>
  <sheetViews>
    <sheetView workbookViewId="0">
      <selection activeCell="B8" sqref="B8"/>
    </sheetView>
  </sheetViews>
  <sheetFormatPr baseColWidth="10" defaultRowHeight="15" x14ac:dyDescent="0.25"/>
  <cols>
    <col min="1" max="1" width="16.28515625" bestFit="1" customWidth="1"/>
    <col min="2" max="2" width="32.140625" bestFit="1" customWidth="1"/>
  </cols>
  <sheetData>
    <row r="1" spans="1:2" x14ac:dyDescent="0.25">
      <c r="A1" t="s">
        <v>142</v>
      </c>
      <c r="B1" s="11" t="s">
        <v>145</v>
      </c>
    </row>
    <row r="2" spans="1:2" x14ac:dyDescent="0.25">
      <c r="A2" t="s">
        <v>143</v>
      </c>
      <c r="B2" s="11" t="s">
        <v>144</v>
      </c>
    </row>
    <row r="3" spans="1:2" x14ac:dyDescent="0.25">
      <c r="A3" t="s">
        <v>146</v>
      </c>
      <c r="B3" s="11" t="s">
        <v>147</v>
      </c>
    </row>
    <row r="4" spans="1:2" x14ac:dyDescent="0.25">
      <c r="A4" t="s">
        <v>149</v>
      </c>
      <c r="B4" s="11" t="s">
        <v>148</v>
      </c>
    </row>
    <row r="5" spans="1:2" x14ac:dyDescent="0.25">
      <c r="A5" t="s">
        <v>141</v>
      </c>
      <c r="B5" s="11" t="s">
        <v>144</v>
      </c>
    </row>
  </sheetData>
  <hyperlinks>
    <hyperlink ref="B2" r:id="rId1" xr:uid="{B3D63035-1725-4CD9-AD56-E2B3AD44CEB3}"/>
    <hyperlink ref="B1" r:id="rId2" xr:uid="{FC995CC2-F4AD-4391-8F5A-F9C73B371E44}"/>
    <hyperlink ref="B3" r:id="rId3" xr:uid="{8EB706DB-4FFF-495B-819A-F6C8CD58F7EF}"/>
    <hyperlink ref="B4" r:id="rId4" display="franck.collaudin@ata-habitat.com" xr:uid="{DFF7955A-5940-4C04-B65D-6B427A392AD0}"/>
    <hyperlink ref="B5" r:id="rId5" xr:uid="{B2B9788D-CE21-4E4D-A137-5864FDA64BD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SuperBar</vt:lpstr>
      <vt:lpstr>Conditionnements</vt:lpstr>
      <vt:lpstr>Nomenclature SolidWorks</vt:lpstr>
      <vt:lpstr>Accessoires</vt:lpstr>
      <vt:lpstr>Bon de commande</vt:lpstr>
      <vt:lpstr>Couleurs</vt:lpstr>
      <vt:lpstr>Collaborateurs</vt:lpstr>
      <vt:lpstr>nomenclature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COLLAUDIN</dc:creator>
  <cp:lastModifiedBy>Yves REY</cp:lastModifiedBy>
  <cp:lastPrinted>2021-06-13T18:17:26Z</cp:lastPrinted>
  <dcterms:created xsi:type="dcterms:W3CDTF">2021-04-08T06:52:55Z</dcterms:created>
  <dcterms:modified xsi:type="dcterms:W3CDTF">2021-06-18T09:00:50Z</dcterms:modified>
</cp:coreProperties>
</file>